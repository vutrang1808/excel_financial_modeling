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I:\GOETHE\WiSe 21-22\Excel for Finance\Projects\Projects_Vu_7462346\"/>
    </mc:Choice>
  </mc:AlternateContent>
  <xr:revisionPtr revIDLastSave="0" documentId="13_ncr:1_{8561B957-0E74-423A-8619-2487B986BF7C}" xr6:coauthVersionLast="47" xr6:coauthVersionMax="47" xr10:uidLastSave="{00000000-0000-0000-0000-000000000000}"/>
  <bookViews>
    <workbookView xWindow="1330" yWindow="2100" windowWidth="16480" windowHeight="1450" activeTab="7" xr2:uid="{EA3B34E6-7D09-474B-8CA8-ACBF7B4FC9A0}"/>
  </bookViews>
  <sheets>
    <sheet name="Basics" sheetId="5" r:id="rId1"/>
    <sheet name="Data_Growth" sheetId="6" r:id="rId2"/>
    <sheet name="Data_Inflation" sheetId="7" r:id="rId3"/>
    <sheet name="1.InputData" sheetId="17" r:id="rId4"/>
    <sheet name="2.Scenarios" sheetId="12" r:id="rId5"/>
    <sheet name="3.LinearRegression" sheetId="14" r:id="rId6"/>
    <sheet name="2. Scenarios (2)" sheetId="13" state="hidden" r:id="rId7"/>
    <sheet name="4.CashFlows" sheetId="10" r:id="rId8"/>
    <sheet name="5.Simulation" sheetId="11" r:id="rId9"/>
  </sheets>
  <functionGroups builtInGroupCount="19"/>
  <definedNames>
    <definedName name="_xlnm._FilterDatabase" localSheetId="3" hidden="1">'1.InputData'!$A$13:$C$35</definedName>
    <definedName name="_xlnm._FilterDatabase" localSheetId="6" hidden="1">'2. Scenarios (2)'!$A$22:$D$44</definedName>
    <definedName name="growth">'4.CashFlows'!$C$5</definedName>
    <definedName name="inflation">'4.CashFlows'!$C$6</definedName>
    <definedName name="_xlnm.Print_Area" localSheetId="3">'1.InputData'!$A$1:$I$40</definedName>
    <definedName name="_xlnm.Print_Area" localSheetId="4">'2.Scenarios'!$B$2:$G$29</definedName>
    <definedName name="_xlnm.Print_Area" localSheetId="5">'3.LinearRegression'!$A$1:$J$35</definedName>
    <definedName name="_xlnm.Print_Area" localSheetId="7">'4.CashFlows'!$A$1:$V$77</definedName>
    <definedName name="solver_adj" localSheetId="7" hidden="1">'4.CashFlows'!$C$7</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lhs1" localSheetId="7" hidden="1">'4.CashFlows'!$C$7</definedName>
    <definedName name="solver_lhs2" localSheetId="7" hidden="1">'4.CashFlows'!$C$7</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2</definedName>
    <definedName name="solver_nwt" localSheetId="7" hidden="1">1</definedName>
    <definedName name="solver_opt" localSheetId="7" hidden="1">'4.CashFlows'!$C$34</definedName>
    <definedName name="solver_pre" localSheetId="7" hidden="1">0.000001</definedName>
    <definedName name="solver_rbv" localSheetId="7" hidden="1">1</definedName>
    <definedName name="solver_rel1" localSheetId="7" hidden="1">1</definedName>
    <definedName name="solver_rel2" localSheetId="7" hidden="1">3</definedName>
    <definedName name="solver_rhs1" localSheetId="7" hidden="1">100</definedName>
    <definedName name="solver_rhs2" localSheetId="7" hidden="1">30</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1</definedName>
    <definedName name="solver_val" localSheetId="7" hidden="1">0</definedName>
    <definedName name="solver_ver" localSheetId="7"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10" l="1"/>
  <c r="C6" i="10"/>
  <c r="C30" i="17" l="1"/>
  <c r="C31" i="17"/>
  <c r="C32" i="17"/>
  <c r="C33" i="17"/>
  <c r="C34" i="17"/>
  <c r="B30" i="17"/>
  <c r="B31" i="17"/>
  <c r="B32" i="17"/>
  <c r="B33" i="17"/>
  <c r="B34" i="17"/>
  <c r="A30" i="17"/>
  <c r="A31" i="17"/>
  <c r="A32" i="17"/>
  <c r="A33" i="17"/>
  <c r="A34" i="17"/>
  <c r="C29" i="17"/>
  <c r="C28" i="17"/>
  <c r="C27" i="17"/>
  <c r="C26" i="17"/>
  <c r="C25" i="17"/>
  <c r="C24" i="17"/>
  <c r="C23" i="17"/>
  <c r="C22" i="17"/>
  <c r="C21" i="17"/>
  <c r="C20" i="17"/>
  <c r="C19" i="17"/>
  <c r="C18" i="17"/>
  <c r="C17" i="17"/>
  <c r="C16" i="17"/>
  <c r="C15" i="17"/>
  <c r="C14" i="17"/>
  <c r="B29" i="17"/>
  <c r="B28" i="17"/>
  <c r="B27" i="17"/>
  <c r="B26" i="17"/>
  <c r="B25" i="17"/>
  <c r="B24" i="17"/>
  <c r="B23" i="17"/>
  <c r="B22" i="17"/>
  <c r="B21" i="17"/>
  <c r="B20" i="17"/>
  <c r="B19" i="17"/>
  <c r="B18" i="17"/>
  <c r="B17" i="17"/>
  <c r="B16" i="17"/>
  <c r="B15" i="17"/>
  <c r="B14" i="17"/>
  <c r="A29" i="17"/>
  <c r="A28" i="17"/>
  <c r="A27" i="17"/>
  <c r="A26" i="17"/>
  <c r="A25" i="17"/>
  <c r="A24" i="17"/>
  <c r="A23" i="17"/>
  <c r="A22" i="17"/>
  <c r="A21" i="17"/>
  <c r="A20" i="17"/>
  <c r="A19" i="17"/>
  <c r="A18" i="17"/>
  <c r="A17" i="17"/>
  <c r="A16" i="17"/>
  <c r="A15" i="17"/>
  <c r="A14" i="17"/>
  <c r="B6" i="17" l="1"/>
  <c r="C4" i="11" l="1"/>
  <c r="D4" i="11"/>
  <c r="B4" i="11"/>
  <c r="C3" i="11"/>
  <c r="D3" i="11"/>
  <c r="B3" i="11"/>
  <c r="C8" i="10"/>
  <c r="B4" i="14" l="1" a="1"/>
  <c r="B4" i="14" s="1"/>
  <c r="D8" i="17"/>
  <c r="D10" i="17" s="1"/>
  <c r="E17" i="12" s="1"/>
  <c r="E8" i="17"/>
  <c r="E10" i="17" s="1"/>
  <c r="F17" i="12" s="1"/>
  <c r="B11" i="17"/>
  <c r="E6" i="17"/>
  <c r="B7" i="17"/>
  <c r="C7" i="17"/>
  <c r="B8" i="17"/>
  <c r="B10" i="17" s="1"/>
  <c r="C17" i="12" s="1"/>
  <c r="C6" i="17"/>
  <c r="C8" i="17"/>
  <c r="C10" i="17" s="1"/>
  <c r="D17" i="12" s="1"/>
  <c r="D6" i="17"/>
  <c r="E8" i="12" l="1"/>
  <c r="D8" i="12"/>
  <c r="D7" i="17"/>
  <c r="D9" i="17" s="1"/>
  <c r="B9" i="17"/>
  <c r="E7" i="17"/>
  <c r="E9" i="17" s="1"/>
  <c r="C9" i="17"/>
  <c r="D43" i="13" l="1"/>
  <c r="C43" i="13"/>
  <c r="B43" i="13"/>
  <c r="D42" i="13"/>
  <c r="C42" i="13"/>
  <c r="B42" i="13"/>
  <c r="D41" i="13"/>
  <c r="C41" i="13"/>
  <c r="B41" i="13"/>
  <c r="D40" i="13"/>
  <c r="C40" i="13"/>
  <c r="B40" i="13"/>
  <c r="D39" i="13"/>
  <c r="C39" i="13"/>
  <c r="B39" i="13"/>
  <c r="D38" i="13"/>
  <c r="C38" i="13"/>
  <c r="B38" i="13"/>
  <c r="D37" i="13"/>
  <c r="C37" i="13"/>
  <c r="B37" i="13"/>
  <c r="D36" i="13"/>
  <c r="C36" i="13"/>
  <c r="B36" i="13"/>
  <c r="D35" i="13"/>
  <c r="C35" i="13"/>
  <c r="B35" i="13"/>
  <c r="D34" i="13"/>
  <c r="C34" i="13"/>
  <c r="B34" i="13"/>
  <c r="D33" i="13"/>
  <c r="C33" i="13"/>
  <c r="B33" i="13"/>
  <c r="D32" i="13"/>
  <c r="C32" i="13"/>
  <c r="B32" i="13"/>
  <c r="D31" i="13"/>
  <c r="C31" i="13"/>
  <c r="B31" i="13"/>
  <c r="D30" i="13"/>
  <c r="C30" i="13"/>
  <c r="B30" i="13"/>
  <c r="D29" i="13"/>
  <c r="C29" i="13"/>
  <c r="B29" i="13"/>
  <c r="D28" i="13"/>
  <c r="C28" i="13"/>
  <c r="B28" i="13"/>
  <c r="D27" i="13"/>
  <c r="C27" i="13"/>
  <c r="B27" i="13"/>
  <c r="D26" i="13"/>
  <c r="C26" i="13"/>
  <c r="B26" i="13"/>
  <c r="D25" i="13"/>
  <c r="C25" i="13"/>
  <c r="B25" i="13"/>
  <c r="D24" i="13"/>
  <c r="C24" i="13"/>
  <c r="B24" i="13"/>
  <c r="D23" i="13"/>
  <c r="C23" i="13"/>
  <c r="B23" i="13"/>
  <c r="E8" i="13" l="1"/>
  <c r="E10" i="13" s="1"/>
  <c r="K8" i="13" s="1"/>
  <c r="C11" i="13"/>
  <c r="F8" i="13"/>
  <c r="F10" i="13" s="1"/>
  <c r="L8" i="13" s="1"/>
  <c r="C6" i="13"/>
  <c r="C7" i="13"/>
  <c r="C8" i="13"/>
  <c r="C10" i="13" s="1"/>
  <c r="I8" i="13" s="1"/>
  <c r="D6" i="13"/>
  <c r="D7" i="13"/>
  <c r="D8" i="13"/>
  <c r="D10" i="13" s="1"/>
  <c r="J8" i="13" s="1"/>
  <c r="I14" i="13" a="1"/>
  <c r="I14" i="13" s="1"/>
  <c r="E6" i="13"/>
  <c r="F6" i="13"/>
  <c r="F7" i="13" l="1"/>
  <c r="F9" i="13" s="1"/>
  <c r="E7" i="13"/>
  <c r="E9" i="13" s="1"/>
  <c r="C9" i="13"/>
  <c r="D9" i="13"/>
  <c r="F58" i="10" l="1"/>
  <c r="G58" i="10" s="1"/>
  <c r="H58" i="10" s="1"/>
  <c r="I58" i="10" s="1"/>
  <c r="J58" i="10" s="1"/>
  <c r="K58" i="10" s="1"/>
  <c r="L58" i="10" s="1"/>
  <c r="M58" i="10" s="1"/>
  <c r="N58" i="10" s="1"/>
  <c r="O58" i="10" s="1"/>
  <c r="D60" i="10"/>
  <c r="D61" i="10" s="1"/>
  <c r="D62" i="10" s="1"/>
  <c r="D63" i="10" s="1"/>
  <c r="D64" i="10" s="1"/>
  <c r="D65" i="10" s="1"/>
  <c r="D66" i="10" s="1"/>
  <c r="D67" i="10" s="1"/>
  <c r="D68" i="10" s="1"/>
  <c r="D69" i="10" s="1"/>
  <c r="D18" i="10" l="1"/>
  <c r="E18" i="10" s="1"/>
  <c r="C14" i="10"/>
  <c r="D19" i="10"/>
  <c r="D22" i="10" s="1"/>
  <c r="D20" i="10" s="1"/>
  <c r="D17" i="10" l="1"/>
  <c r="D24" i="10" s="1"/>
  <c r="C15" i="10"/>
  <c r="C29" i="10" s="1"/>
  <c r="C30" i="10" s="1"/>
  <c r="D14" i="10"/>
  <c r="E14" i="10" s="1"/>
  <c r="F14" i="10" s="1"/>
  <c r="G14" i="10" s="1"/>
  <c r="H14" i="10" s="1"/>
  <c r="I14" i="10" s="1"/>
  <c r="J14" i="10" s="1"/>
  <c r="K14" i="10" s="1"/>
  <c r="L14" i="10" s="1"/>
  <c r="M14" i="10" s="1"/>
  <c r="N14" i="10" s="1"/>
  <c r="N15" i="10" s="1"/>
  <c r="H15" i="10" l="1"/>
  <c r="D26" i="10"/>
  <c r="K15" i="10"/>
  <c r="K29" i="10" s="1"/>
  <c r="F15" i="10"/>
  <c r="F29" i="10" s="1"/>
  <c r="J15" i="10"/>
  <c r="J29" i="10" s="1"/>
  <c r="M15" i="10"/>
  <c r="M29" i="10" s="1"/>
  <c r="E15" i="10"/>
  <c r="E29" i="10" s="1"/>
  <c r="L15" i="10"/>
  <c r="L29" i="10" s="1"/>
  <c r="H29" i="10"/>
  <c r="D15" i="10"/>
  <c r="D29" i="10" s="1"/>
  <c r="G15" i="10"/>
  <c r="G29" i="10" s="1"/>
  <c r="I15" i="10"/>
  <c r="I29" i="10" s="1"/>
  <c r="D30" i="10" l="1"/>
  <c r="B6" i="6" l="1"/>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5" i="6"/>
  <c r="D19" i="13" l="1"/>
  <c r="J6" i="13" s="1"/>
  <c r="C19" i="13"/>
  <c r="I6" i="13" s="1"/>
  <c r="K6" i="13" s="1"/>
  <c r="K7" i="13" s="1"/>
  <c r="K9" i="13" s="1"/>
  <c r="K10" i="13" s="1"/>
  <c r="L6" i="13" l="1"/>
  <c r="L7" i="13" s="1"/>
  <c r="L9" i="13" s="1"/>
  <c r="L10" i="13" s="1"/>
  <c r="J7" i="13"/>
  <c r="J9" i="13" s="1"/>
  <c r="J10" i="13" s="1"/>
  <c r="D15" i="12"/>
  <c r="E21" i="10"/>
  <c r="E19" i="10"/>
  <c r="C15" i="12"/>
  <c r="C16" i="12" s="1"/>
  <c r="I7" i="13"/>
  <c r="I9" i="13" s="1"/>
  <c r="I10" i="13" s="1"/>
  <c r="F21" i="10" l="1"/>
  <c r="C18" i="12"/>
  <c r="C19" i="12" s="1"/>
  <c r="F15" i="12"/>
  <c r="F16" i="12" s="1"/>
  <c r="F18" i="12" s="1"/>
  <c r="F19" i="12" s="1"/>
  <c r="D16" i="12"/>
  <c r="D18" i="12" s="1"/>
  <c r="E15" i="12"/>
  <c r="E16" i="12" s="1"/>
  <c r="E17" i="10"/>
  <c r="E23" i="10"/>
  <c r="F23" i="10" s="1"/>
  <c r="G23" i="10" s="1"/>
  <c r="H23" i="10" s="1"/>
  <c r="I23" i="10" s="1"/>
  <c r="J23" i="10" s="1"/>
  <c r="K23" i="10" s="1"/>
  <c r="L23" i="10" s="1"/>
  <c r="M23" i="10" s="1"/>
  <c r="N23" i="10" s="1"/>
  <c r="F19" i="10"/>
  <c r="E18" i="12" l="1"/>
  <c r="E19" i="12" s="1"/>
  <c r="D19" i="12"/>
  <c r="G21" i="10"/>
  <c r="F18" i="10"/>
  <c r="F17" i="10" s="1"/>
  <c r="E22" i="10"/>
  <c r="E20" i="10" s="1"/>
  <c r="G19" i="10"/>
  <c r="H19" i="10" s="1"/>
  <c r="F22" i="10"/>
  <c r="F20" i="10" s="1"/>
  <c r="E24" i="10" l="1"/>
  <c r="E26" i="10" s="1"/>
  <c r="H21" i="10"/>
  <c r="G18" i="10"/>
  <c r="G22" i="10"/>
  <c r="G20" i="10" s="1"/>
  <c r="E30" i="10" l="1"/>
  <c r="F24" i="10"/>
  <c r="F26" i="10" s="1"/>
  <c r="F30" i="10" s="1"/>
  <c r="I21" i="10"/>
  <c r="H18" i="10"/>
  <c r="G17" i="10"/>
  <c r="H22" i="10"/>
  <c r="H20" i="10" s="1"/>
  <c r="I19" i="10"/>
  <c r="G24" i="10" l="1"/>
  <c r="G26" i="10" s="1"/>
  <c r="J21" i="10"/>
  <c r="I18" i="10"/>
  <c r="H17" i="10"/>
  <c r="I22" i="10"/>
  <c r="I20" i="10" s="1"/>
  <c r="J19" i="10"/>
  <c r="G30" i="10" l="1"/>
  <c r="H24" i="10"/>
  <c r="H26" i="10" s="1"/>
  <c r="H30" i="10" s="1"/>
  <c r="K21" i="10"/>
  <c r="J18" i="10"/>
  <c r="I17" i="10"/>
  <c r="J22" i="10"/>
  <c r="J20" i="10" s="1"/>
  <c r="K19" i="10"/>
  <c r="I24" i="10" l="1"/>
  <c r="I26" i="10" s="1"/>
  <c r="L21" i="10"/>
  <c r="K18" i="10"/>
  <c r="J17" i="10"/>
  <c r="K22" i="10"/>
  <c r="K20" i="10" s="1"/>
  <c r="L19" i="10"/>
  <c r="I30" i="10" l="1"/>
  <c r="J24" i="10"/>
  <c r="J26" i="10" s="1"/>
  <c r="J30" i="10" s="1"/>
  <c r="M21" i="10"/>
  <c r="L18" i="10"/>
  <c r="K17" i="10"/>
  <c r="L22" i="10"/>
  <c r="L20" i="10" s="1"/>
  <c r="M19" i="10"/>
  <c r="K24" i="10" l="1"/>
  <c r="K26" i="10" s="1"/>
  <c r="K30" i="10" s="1"/>
  <c r="N21" i="10"/>
  <c r="M18" i="10"/>
  <c r="L17" i="10"/>
  <c r="M22" i="10"/>
  <c r="M20" i="10" s="1"/>
  <c r="N19" i="10"/>
  <c r="N22" i="10" s="1"/>
  <c r="L24" i="10" l="1"/>
  <c r="L26" i="10" s="1"/>
  <c r="L30" i="10" s="1"/>
  <c r="N20" i="10"/>
  <c r="N18" i="10"/>
  <c r="N17" i="10" s="1"/>
  <c r="M17" i="10"/>
  <c r="M24" i="10" s="1"/>
  <c r="N24" i="10" l="1"/>
  <c r="M25" i="10" s="1"/>
  <c r="M26" i="10" s="1"/>
  <c r="C34" i="10" l="1"/>
  <c r="C36" i="10" s="1"/>
  <c r="M30" i="10"/>
  <c r="C33" i="10" s="1"/>
  <c r="D58"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B7" authorId="0" shapeId="0" xr:uid="{2BFBA84A-6123-4C87-BDFF-590947F06237}">
      <text>
        <r>
          <rPr>
            <b/>
            <sz val="9"/>
            <color indexed="81"/>
            <rFont val="Tahoma"/>
            <family val="2"/>
          </rPr>
          <t>ADMIN:</t>
        </r>
        <r>
          <rPr>
            <sz val="9"/>
            <color indexed="81"/>
            <rFont val="Tahoma"/>
            <family val="2"/>
          </rPr>
          <t xml:space="preserve">
you can set the unit price yourself in the range of 30-100€
</t>
        </r>
      </text>
    </comment>
    <comment ref="B9" authorId="0" shapeId="0" xr:uid="{27744302-125F-43E1-8574-98077B1B103E}">
      <text>
        <r>
          <rPr>
            <b/>
            <sz val="9"/>
            <color indexed="81"/>
            <rFont val="Tahoma"/>
            <family val="2"/>
          </rPr>
          <t>ADMIN:</t>
        </r>
        <r>
          <rPr>
            <sz val="9"/>
            <color indexed="81"/>
            <rFont val="Tahoma"/>
            <family val="2"/>
          </rPr>
          <t xml:space="preserve">
fixed at t=1
</t>
        </r>
      </text>
    </comment>
    <comment ref="B10" authorId="0" shapeId="0" xr:uid="{2ECAF430-0BCC-4A0A-8D8E-2944F34ED02C}">
      <text>
        <r>
          <rPr>
            <b/>
            <sz val="9"/>
            <color indexed="81"/>
            <rFont val="Tahoma"/>
            <family val="2"/>
          </rPr>
          <t>ADMIN:</t>
        </r>
        <r>
          <rPr>
            <sz val="9"/>
            <color indexed="81"/>
            <rFont val="Tahoma"/>
            <family val="2"/>
          </rPr>
          <t xml:space="preserve">
fixed at t=1</t>
        </r>
      </text>
    </comment>
    <comment ref="B11" authorId="0" shapeId="0" xr:uid="{05366027-97F7-461A-9F51-32EC644BF783}">
      <text>
        <r>
          <rPr>
            <b/>
            <sz val="9"/>
            <color indexed="81"/>
            <rFont val="Tahoma"/>
            <family val="2"/>
          </rPr>
          <t>ADMIN:</t>
        </r>
        <r>
          <rPr>
            <sz val="9"/>
            <color indexed="81"/>
            <rFont val="Tahoma"/>
            <family val="2"/>
          </rPr>
          <t xml:space="preserve">
fixed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<sst xmlns="http://schemas.openxmlformats.org/spreadsheetml/2006/main" count="1106" uniqueCount="595">
  <si>
    <t>2019-Q2</t>
  </si>
  <si>
    <t>Normal value (A)</t>
  </si>
  <si>
    <t>2019-Q1</t>
  </si>
  <si>
    <t>2018-Q4</t>
  </si>
  <si>
    <t>2018-Q3</t>
  </si>
  <si>
    <t>2018-Q2</t>
  </si>
  <si>
    <t>2018-Q1</t>
  </si>
  <si>
    <t>2017-Q4</t>
  </si>
  <si>
    <t>2017-Q3</t>
  </si>
  <si>
    <t>2017-Q2</t>
  </si>
  <si>
    <t>2017-Q1</t>
  </si>
  <si>
    <t>2016-Q4</t>
  </si>
  <si>
    <t>2016-Q3</t>
  </si>
  <si>
    <t>2016-Q2</t>
  </si>
  <si>
    <t>2016-Q1</t>
  </si>
  <si>
    <t>2015-Q4</t>
  </si>
  <si>
    <t>2015-Q3</t>
  </si>
  <si>
    <t>2015-Q2</t>
  </si>
  <si>
    <t>2015-Q1</t>
  </si>
  <si>
    <t>2014-Q4</t>
  </si>
  <si>
    <t>2014-Q3</t>
  </si>
  <si>
    <t>2014-Q2</t>
  </si>
  <si>
    <t>2014-Q1</t>
  </si>
  <si>
    <t>2013-Q4</t>
  </si>
  <si>
    <t>2013-Q3</t>
  </si>
  <si>
    <t>2013-Q2</t>
  </si>
  <si>
    <t>2013-Q1</t>
  </si>
  <si>
    <t>2012-Q4</t>
  </si>
  <si>
    <t>2012-Q3</t>
  </si>
  <si>
    <t>2012-Q2</t>
  </si>
  <si>
    <t>2012-Q1</t>
  </si>
  <si>
    <t>2011-Q4</t>
  </si>
  <si>
    <t>2011-Q3</t>
  </si>
  <si>
    <t>2011-Q2</t>
  </si>
  <si>
    <t>2011-Q1</t>
  </si>
  <si>
    <t>2010-Q4</t>
  </si>
  <si>
    <t>2010-Q3</t>
  </si>
  <si>
    <t>2010-Q2</t>
  </si>
  <si>
    <t>2010-Q1</t>
  </si>
  <si>
    <t>2009-Q4</t>
  </si>
  <si>
    <t>2009-Q3</t>
  </si>
  <si>
    <t>2009-Q2</t>
  </si>
  <si>
    <t>2009-Q1</t>
  </si>
  <si>
    <t>2008-Q4</t>
  </si>
  <si>
    <t>2008-Q3</t>
  </si>
  <si>
    <t>2008-Q2</t>
  </si>
  <si>
    <t>2008-Q1</t>
  </si>
  <si>
    <t>2007-Q4</t>
  </si>
  <si>
    <t>2007-Q3</t>
  </si>
  <si>
    <t>2007-Q2</t>
  </si>
  <si>
    <t>2007-Q1</t>
  </si>
  <si>
    <t>2006-Q4</t>
  </si>
  <si>
    <t>2006-Q3</t>
  </si>
  <si>
    <t>2006-Q2</t>
  </si>
  <si>
    <t>2006-Q1</t>
  </si>
  <si>
    <t>2005-Q4</t>
  </si>
  <si>
    <t>2005-Q3</t>
  </si>
  <si>
    <t>2005-Q2</t>
  </si>
  <si>
    <t>2005-Q1</t>
  </si>
  <si>
    <t>2004-Q4</t>
  </si>
  <si>
    <t>2004-Q3</t>
  </si>
  <si>
    <t>2004-Q2</t>
  </si>
  <si>
    <t>2004-Q1</t>
  </si>
  <si>
    <t>2003-Q4</t>
  </si>
  <si>
    <t>2003-Q3</t>
  </si>
  <si>
    <t>2003-Q2</t>
  </si>
  <si>
    <t>2003-Q1</t>
  </si>
  <si>
    <t>2002-Q4</t>
  </si>
  <si>
    <t>2002-Q3</t>
  </si>
  <si>
    <t>2002-Q2</t>
  </si>
  <si>
    <t>2002-Q1</t>
  </si>
  <si>
    <t>2001-Q4</t>
  </si>
  <si>
    <t>2001-Q3</t>
  </si>
  <si>
    <t>2001-Q2</t>
  </si>
  <si>
    <t>2001-Q1</t>
  </si>
  <si>
    <t>2000-Q4</t>
  </si>
  <si>
    <t>2000-Q3</t>
  </si>
  <si>
    <t>2000-Q2</t>
  </si>
  <si>
    <t>2000-Q1</t>
  </si>
  <si>
    <t>1999-Q4</t>
  </si>
  <si>
    <t>1999-Q3</t>
  </si>
  <si>
    <t>1999-Q2</t>
  </si>
  <si>
    <t>1999-Q1</t>
  </si>
  <si>
    <t>1998-Q4</t>
  </si>
  <si>
    <t>1998-Q3</t>
  </si>
  <si>
    <t>1998-Q2</t>
  </si>
  <si>
    <t>1998-Q1</t>
  </si>
  <si>
    <t>1997-Q4</t>
  </si>
  <si>
    <t>1997-Q3</t>
  </si>
  <si>
    <t>1997-Q2</t>
  </si>
  <si>
    <t>1997-Q1</t>
  </si>
  <si>
    <t>1996-Q4</t>
  </si>
  <si>
    <t>1996-Q3</t>
  </si>
  <si>
    <t>1996-Q2</t>
  </si>
  <si>
    <t>1996-Q1</t>
  </si>
  <si>
    <t>2019-08</t>
  </si>
  <si>
    <t>2019-07</t>
  </si>
  <si>
    <t>2019-06</t>
  </si>
  <si>
    <t>2019-05</t>
  </si>
  <si>
    <t>2019-04</t>
  </si>
  <si>
    <t>2019-03</t>
  </si>
  <si>
    <t>2019-02</t>
  </si>
  <si>
    <t>2019-01</t>
  </si>
  <si>
    <t>2018-12</t>
  </si>
  <si>
    <t>2018-11</t>
  </si>
  <si>
    <t>2018-10</t>
  </si>
  <si>
    <t>2018-09</t>
  </si>
  <si>
    <t>2018-08</t>
  </si>
  <si>
    <t>2018-07</t>
  </si>
  <si>
    <t>2018-06</t>
  </si>
  <si>
    <t>2018-05</t>
  </si>
  <si>
    <t>2018-04</t>
  </si>
  <si>
    <t>2018-03</t>
  </si>
  <si>
    <t>2018-02</t>
  </si>
  <si>
    <t>2018-01</t>
  </si>
  <si>
    <t>2017-12</t>
  </si>
  <si>
    <t>2017-11</t>
  </si>
  <si>
    <t>2017-10</t>
  </si>
  <si>
    <t>2017-09</t>
  </si>
  <si>
    <t>2017-08</t>
  </si>
  <si>
    <t>2017-07</t>
  </si>
  <si>
    <t>2017-06</t>
  </si>
  <si>
    <t>2017-05</t>
  </si>
  <si>
    <t>2017-04</t>
  </si>
  <si>
    <t>2017-03</t>
  </si>
  <si>
    <t>2017-02</t>
  </si>
  <si>
    <t>2017-01</t>
  </si>
  <si>
    <t>2016-12</t>
  </si>
  <si>
    <t>2016-11</t>
  </si>
  <si>
    <t>2016-10</t>
  </si>
  <si>
    <t>2016-09</t>
  </si>
  <si>
    <t>2016-08</t>
  </si>
  <si>
    <t>2016-07</t>
  </si>
  <si>
    <t>2016-06</t>
  </si>
  <si>
    <t>2016-05</t>
  </si>
  <si>
    <t>2016-04</t>
  </si>
  <si>
    <t>2016-03</t>
  </si>
  <si>
    <t>2016-02</t>
  </si>
  <si>
    <t>2016-01</t>
  </si>
  <si>
    <t>2015-12</t>
  </si>
  <si>
    <t>2015-11</t>
  </si>
  <si>
    <t>2015-10</t>
  </si>
  <si>
    <t>2015-09</t>
  </si>
  <si>
    <t>2015-08</t>
  </si>
  <si>
    <t>2015-07</t>
  </si>
  <si>
    <t>2015-06</t>
  </si>
  <si>
    <t>2015-05</t>
  </si>
  <si>
    <t>2015-04</t>
  </si>
  <si>
    <t>2015-03</t>
  </si>
  <si>
    <t>2015-02</t>
  </si>
  <si>
    <t>2015-01</t>
  </si>
  <si>
    <t>2014-12</t>
  </si>
  <si>
    <t>2014-11</t>
  </si>
  <si>
    <t>2014-10</t>
  </si>
  <si>
    <t>2014-09</t>
  </si>
  <si>
    <t>2014-08</t>
  </si>
  <si>
    <t>2014-07</t>
  </si>
  <si>
    <t>2014-06</t>
  </si>
  <si>
    <t>2014-05</t>
  </si>
  <si>
    <t>2014-04</t>
  </si>
  <si>
    <t>2014-03</t>
  </si>
  <si>
    <t>2014-02</t>
  </si>
  <si>
    <t>2014-01</t>
  </si>
  <si>
    <t>2013-12</t>
  </si>
  <si>
    <t>2013-11</t>
  </si>
  <si>
    <t>2013-10</t>
  </si>
  <si>
    <t>2013-09</t>
  </si>
  <si>
    <t>2013-08</t>
  </si>
  <si>
    <t>2013-07</t>
  </si>
  <si>
    <t>2013-06</t>
  </si>
  <si>
    <t>2013-05</t>
  </si>
  <si>
    <t>2013-04</t>
  </si>
  <si>
    <t>2013-03</t>
  </si>
  <si>
    <t>2013-02</t>
  </si>
  <si>
    <t>2013-01</t>
  </si>
  <si>
    <t>2012-12</t>
  </si>
  <si>
    <t>2012-11</t>
  </si>
  <si>
    <t>2012-10</t>
  </si>
  <si>
    <t>2012-09</t>
  </si>
  <si>
    <t>2012-08</t>
  </si>
  <si>
    <t>2012-07</t>
  </si>
  <si>
    <t>2012-06</t>
  </si>
  <si>
    <t>2012-05</t>
  </si>
  <si>
    <t>2012-04</t>
  </si>
  <si>
    <t>2012-03</t>
  </si>
  <si>
    <t>2012-02</t>
  </si>
  <si>
    <t>2012-01</t>
  </si>
  <si>
    <t>2011-12</t>
  </si>
  <si>
    <t>2011-11</t>
  </si>
  <si>
    <t>2011-10</t>
  </si>
  <si>
    <t>2011-09</t>
  </si>
  <si>
    <t>2011-08</t>
  </si>
  <si>
    <t>2011-07</t>
  </si>
  <si>
    <t>2011-06</t>
  </si>
  <si>
    <t>2011-05</t>
  </si>
  <si>
    <t>2011-04</t>
  </si>
  <si>
    <t>2011-03</t>
  </si>
  <si>
    <t>2011-02</t>
  </si>
  <si>
    <t>2011-01</t>
  </si>
  <si>
    <t>2010-12</t>
  </si>
  <si>
    <t>2010-11</t>
  </si>
  <si>
    <t>2010-10</t>
  </si>
  <si>
    <t>2010-09</t>
  </si>
  <si>
    <t>2010-08</t>
  </si>
  <si>
    <t>2010-07</t>
  </si>
  <si>
    <t>2010-06</t>
  </si>
  <si>
    <t>2010-05</t>
  </si>
  <si>
    <t>2010-04</t>
  </si>
  <si>
    <t>2010-03</t>
  </si>
  <si>
    <t>2010-02</t>
  </si>
  <si>
    <t>2010-01</t>
  </si>
  <si>
    <t>2009-12</t>
  </si>
  <si>
    <t>2009-11</t>
  </si>
  <si>
    <t>2009-10</t>
  </si>
  <si>
    <t>2009-09</t>
  </si>
  <si>
    <t>2009-08</t>
  </si>
  <si>
    <t>2009-07</t>
  </si>
  <si>
    <t>2009-06</t>
  </si>
  <si>
    <t>2009-05</t>
  </si>
  <si>
    <t>2009-04</t>
  </si>
  <si>
    <t>2009-03</t>
  </si>
  <si>
    <t>2009-02</t>
  </si>
  <si>
    <t>2009-01</t>
  </si>
  <si>
    <t>2008-12</t>
  </si>
  <si>
    <t>2008-11</t>
  </si>
  <si>
    <t>2008-10</t>
  </si>
  <si>
    <t>2008-09</t>
  </si>
  <si>
    <t>2008-08</t>
  </si>
  <si>
    <t>2008-07</t>
  </si>
  <si>
    <t>2008-06</t>
  </si>
  <si>
    <t>2008-05</t>
  </si>
  <si>
    <t>2008-04</t>
  </si>
  <si>
    <t>2008-03</t>
  </si>
  <si>
    <t>2008-02</t>
  </si>
  <si>
    <t>2008-01</t>
  </si>
  <si>
    <t>2007-12</t>
  </si>
  <si>
    <t>2007-11</t>
  </si>
  <si>
    <t>2007-10</t>
  </si>
  <si>
    <t>2007-09</t>
  </si>
  <si>
    <t>2007-08</t>
  </si>
  <si>
    <t>2007-07</t>
  </si>
  <si>
    <t>2007-06</t>
  </si>
  <si>
    <t>2007-05</t>
  </si>
  <si>
    <t>2007-04</t>
  </si>
  <si>
    <t>2007-03</t>
  </si>
  <si>
    <t>2007-02</t>
  </si>
  <si>
    <t>2007-01</t>
  </si>
  <si>
    <t>2006-12</t>
  </si>
  <si>
    <t>2006-11</t>
  </si>
  <si>
    <t>2006-10</t>
  </si>
  <si>
    <t>2006-09</t>
  </si>
  <si>
    <t>2006-08</t>
  </si>
  <si>
    <t>2006-07</t>
  </si>
  <si>
    <t>2006-06</t>
  </si>
  <si>
    <t>2006-05</t>
  </si>
  <si>
    <t>2006-04</t>
  </si>
  <si>
    <t>2006-03</t>
  </si>
  <si>
    <t>2006-02</t>
  </si>
  <si>
    <t>2006-01</t>
  </si>
  <si>
    <t>2005-12</t>
  </si>
  <si>
    <t>2005-11</t>
  </si>
  <si>
    <t>2005-10</t>
  </si>
  <si>
    <t>2005-09</t>
  </si>
  <si>
    <t>2005-08</t>
  </si>
  <si>
    <t>2005-07</t>
  </si>
  <si>
    <t>2005-06</t>
  </si>
  <si>
    <t>2005-05</t>
  </si>
  <si>
    <t>2005-04</t>
  </si>
  <si>
    <t>2005-03</t>
  </si>
  <si>
    <t>2005-02</t>
  </si>
  <si>
    <t>2005-01</t>
  </si>
  <si>
    <t>2004-12</t>
  </si>
  <si>
    <t>2004-11</t>
  </si>
  <si>
    <t>2004-10</t>
  </si>
  <si>
    <t>2004-09</t>
  </si>
  <si>
    <t>2004-08</t>
  </si>
  <si>
    <t>2004-07</t>
  </si>
  <si>
    <t>2004-06</t>
  </si>
  <si>
    <t>2004-05</t>
  </si>
  <si>
    <t>2004-04</t>
  </si>
  <si>
    <t>2004-03</t>
  </si>
  <si>
    <t>2004-02</t>
  </si>
  <si>
    <t>2004-01</t>
  </si>
  <si>
    <t>2003-12</t>
  </si>
  <si>
    <t>2003-11</t>
  </si>
  <si>
    <t>2003-10</t>
  </si>
  <si>
    <t>2003-09</t>
  </si>
  <si>
    <t>2003-08</t>
  </si>
  <si>
    <t>2003-07</t>
  </si>
  <si>
    <t>2003-06</t>
  </si>
  <si>
    <t>2003-05</t>
  </si>
  <si>
    <t>2003-04</t>
  </si>
  <si>
    <t>2003-03</t>
  </si>
  <si>
    <t>2003-02</t>
  </si>
  <si>
    <t>2003-01</t>
  </si>
  <si>
    <t>2002-12</t>
  </si>
  <si>
    <t>2002-11</t>
  </si>
  <si>
    <t>2002-10</t>
  </si>
  <si>
    <t>2002-09</t>
  </si>
  <si>
    <t>2002-08</t>
  </si>
  <si>
    <t>2002-07</t>
  </si>
  <si>
    <t>2002-06</t>
  </si>
  <si>
    <t>2002-05</t>
  </si>
  <si>
    <t>2002-04</t>
  </si>
  <si>
    <t>2002-03</t>
  </si>
  <si>
    <t>2002-02</t>
  </si>
  <si>
    <t>2002-01</t>
  </si>
  <si>
    <t>2001-12</t>
  </si>
  <si>
    <t>2001-11</t>
  </si>
  <si>
    <t>2001-10</t>
  </si>
  <si>
    <t>2001-09</t>
  </si>
  <si>
    <t>2001-08</t>
  </si>
  <si>
    <t>2001-07</t>
  </si>
  <si>
    <t>2001-06</t>
  </si>
  <si>
    <t>2001-05</t>
  </si>
  <si>
    <t>2001-04</t>
  </si>
  <si>
    <t>2001-03</t>
  </si>
  <si>
    <t>2001-02</t>
  </si>
  <si>
    <t>2001-01</t>
  </si>
  <si>
    <t>2000-12</t>
  </si>
  <si>
    <t>2000-11</t>
  </si>
  <si>
    <t>2000-10</t>
  </si>
  <si>
    <t>2000-09</t>
  </si>
  <si>
    <t>2000-08</t>
  </si>
  <si>
    <t>2000-07</t>
  </si>
  <si>
    <t>2000-06</t>
  </si>
  <si>
    <t>2000-05</t>
  </si>
  <si>
    <t>2000-04</t>
  </si>
  <si>
    <t>2000-03</t>
  </si>
  <si>
    <t>2000-02</t>
  </si>
  <si>
    <t>2000-01</t>
  </si>
  <si>
    <t>1999-12</t>
  </si>
  <si>
    <t>1999-11</t>
  </si>
  <si>
    <t>1999-10</t>
  </si>
  <si>
    <t>1999-09</t>
  </si>
  <si>
    <t>1999-08</t>
  </si>
  <si>
    <t>1999-07</t>
  </si>
  <si>
    <t>1999-06</t>
  </si>
  <si>
    <t>1999-05</t>
  </si>
  <si>
    <t>1999-04</t>
  </si>
  <si>
    <t>1999-03</t>
  </si>
  <si>
    <t>1999-02</t>
  </si>
  <si>
    <t>1999-01</t>
  </si>
  <si>
    <t>1998-12</t>
  </si>
  <si>
    <t>1998-11</t>
  </si>
  <si>
    <t>1998-10</t>
  </si>
  <si>
    <t>1998-09</t>
  </si>
  <si>
    <t>1998-08</t>
  </si>
  <si>
    <t>1998-07</t>
  </si>
  <si>
    <t>1998-06</t>
  </si>
  <si>
    <t>1998-05</t>
  </si>
  <si>
    <t>1998-04</t>
  </si>
  <si>
    <t>1998-03</t>
  </si>
  <si>
    <t>1998-02</t>
  </si>
  <si>
    <t>1998-01</t>
  </si>
  <si>
    <t>1997-12</t>
  </si>
  <si>
    <t>1997-11</t>
  </si>
  <si>
    <t>1997-10</t>
  </si>
  <si>
    <t>1997-09</t>
  </si>
  <si>
    <t>1997-08</t>
  </si>
  <si>
    <t>1997-07</t>
  </si>
  <si>
    <t>1997-06</t>
  </si>
  <si>
    <t>1997-05</t>
  </si>
  <si>
    <t>1997-04</t>
  </si>
  <si>
    <t>1997-03</t>
  </si>
  <si>
    <t>1997-02</t>
  </si>
  <si>
    <t>1997-01</t>
  </si>
  <si>
    <t>1996-12</t>
  </si>
  <si>
    <t>1996-11</t>
  </si>
  <si>
    <t>1996-10</t>
  </si>
  <si>
    <t>1996-09</t>
  </si>
  <si>
    <t>1996-08</t>
  </si>
  <si>
    <t>1996-07</t>
  </si>
  <si>
    <t>1996-06</t>
  </si>
  <si>
    <t>1996-05</t>
  </si>
  <si>
    <t>1996-04</t>
  </si>
  <si>
    <t>1996-03</t>
  </si>
  <si>
    <t>1996-02</t>
  </si>
  <si>
    <t>1996-01</t>
  </si>
  <si>
    <t>Period ↓</t>
  </si>
  <si>
    <t>value</t>
  </si>
  <si>
    <t>Quarterly Frequency</t>
  </si>
  <si>
    <t>obs. status</t>
  </si>
  <si>
    <t>Source: https://sdw.ecb.europa.eu/quickview.do?SERIES_KEY=320.MNA.Q.Y.I8.W2.S1.S1.B.B1GQ._Z._Z._Z.EUR.LR.GY</t>
  </si>
  <si>
    <t>Inflation</t>
  </si>
  <si>
    <t>u[t]</t>
  </si>
  <si>
    <t>t</t>
  </si>
  <si>
    <t>Symbol</t>
  </si>
  <si>
    <t>Derivation</t>
  </si>
  <si>
    <t>Parameters</t>
  </si>
  <si>
    <t>Growth rate</t>
  </si>
  <si>
    <t>g</t>
  </si>
  <si>
    <t>i</t>
  </si>
  <si>
    <t>Units sold</t>
  </si>
  <si>
    <t>Unit price</t>
  </si>
  <si>
    <t>p[t]</t>
  </si>
  <si>
    <t>c[t]</t>
  </si>
  <si>
    <t>Fixed costs</t>
  </si>
  <si>
    <t>f[t]</t>
  </si>
  <si>
    <t>Variable unit costs</t>
  </si>
  <si>
    <t>v[t]</t>
  </si>
  <si>
    <t>e[t]</t>
  </si>
  <si>
    <t>Total costs</t>
  </si>
  <si>
    <t>=u[t]*v[t]+f[t]</t>
  </si>
  <si>
    <t>r[t]</t>
  </si>
  <si>
    <t>= r[t]-c[t]</t>
  </si>
  <si>
    <t>=u[t]*p[t]</t>
  </si>
  <si>
    <t>Source</t>
  </si>
  <si>
    <t>Source: http://sdw.ecb.europa.eu/quickview.do;jsessionid=FCE8541AE47230577E33F7019620F5B7?SERIES_KEY=122.ICP.M.U2.N.000000.4.INX&amp;start=&amp;end=&amp;trans=QF&amp;submitOptions.x=0&amp;submitOptions.y=0</t>
  </si>
  <si>
    <t>Implementation of HICP Regulation No. 114/2010 on the quality of HICP weights in the HICPs of DE, IE, CY, LU, MT, AT, FI. See Box 3 in the April 2012 ECB Monthly Bulletin for details.</t>
  </si>
  <si>
    <t>Implementation of HICP Regulation No. 33/2009 on the treatment of seasonal products in the Austrian HICP. See Box 3 in the April 2011 ECB Monthly Bulletin for details.</t>
  </si>
  <si>
    <t>Implementation of HICP Regulation No. 33/2009 on the treatment of seasonal products in the HICPs of DE, EE, GR, FR, IT, CY, LU, MT, PT, SI, SK. The Regulation had particularly large impacts on clothing and footwear and to a lesser extent fruit and vegetables. In addition, NL implemented a new methodology for package holidays and air transport. These changes have a distorting impact on the annual rates of change in 2011. See Box 3 in the April 2011 ECB Monthly Bulletin for details.</t>
  </si>
  <si>
    <t>Implementation of HICP Regulation No. 33/2009 on the treatment of seasonal products in the Spanish HICP. Also reallocation of rented holiday apartments from COICOP accomodation services (11.2.0) to actual rentals (04.1.1) in the Spanish HICP. These changes have a distorting impact on the annual rates of change in 2010. See Box 3 in the April 2011 ECB Monthly Bulletin for details.</t>
  </si>
  <si>
    <t>Introduction of methodological changes to the German HICP including - new basket, updated of volume structure of the weights, introduction of explicit weights for outlets and implementation of regulation (EC) No 701/2006 on the temporal coverage of price collection in the HICP</t>
  </si>
  <si>
    <t>Introduction of regulation (EC) No 701/2006 on the temporal coverage of price collection in the HICP in Italy. Collection after October 2006 took place between the 1st and the 21st of the reference month. Until September 2006 the collection period was between the 16th of the previous month and the 15th of the reference month.</t>
  </si>
  <si>
    <t>Introduction of harmonised treatment of price reductions in Spain and Italy as of Jan01</t>
  </si>
  <si>
    <t>Introduction of harmonised treatment of price reductions in Belgium as of Jan00</t>
  </si>
  <si>
    <t>Introduction of harmonised treatment of price reductions in Luxembourg as of Jan99</t>
  </si>
  <si>
    <t>Introduction of harmonised treatment of price reductions in Portugal as of Jan98</t>
  </si>
  <si>
    <t>obs. comment</t>
  </si>
  <si>
    <t>Opportunity costs</t>
  </si>
  <si>
    <t>fixed at 10% p.a.</t>
  </si>
  <si>
    <t>2020-Q3</t>
  </si>
  <si>
    <t>2020-Q2</t>
  </si>
  <si>
    <t>2020-Q1</t>
  </si>
  <si>
    <t>2019-Q4</t>
  </si>
  <si>
    <t>2019-Q3</t>
  </si>
  <si>
    <t>2020-09</t>
  </si>
  <si>
    <t>2020-08</t>
  </si>
  <si>
    <t>2020-07</t>
  </si>
  <si>
    <t>2020-06</t>
  </si>
  <si>
    <t>2020-05</t>
  </si>
  <si>
    <t>2020-04</t>
  </si>
  <si>
    <t>2020-03</t>
  </si>
  <si>
    <t>2020-02</t>
  </si>
  <si>
    <t>2020-01</t>
  </si>
  <si>
    <t>2019-12</t>
  </si>
  <si>
    <t>2019-11</t>
  </si>
  <si>
    <t>2019-10</t>
  </si>
  <si>
    <t>2019-09</t>
  </si>
  <si>
    <t>fixed at 20€</t>
  </si>
  <si>
    <t>input: range 30€…100€, preset to 40€</t>
  </si>
  <si>
    <t>input: per year (sensible values)</t>
  </si>
  <si>
    <t>p[1]</t>
  </si>
  <si>
    <t>u[1]</t>
  </si>
  <si>
    <t>f[1]</t>
  </si>
  <si>
    <t>=10*(100-p[1]), i.e. function of price</t>
  </si>
  <si>
    <t>fixed at 2'500€</t>
  </si>
  <si>
    <t>Initial unit price</t>
  </si>
  <si>
    <t>Initial units sold</t>
  </si>
  <si>
    <t>Initial unit costs</t>
  </si>
  <si>
    <t>Initial fixed costs</t>
  </si>
  <si>
    <t>Investment</t>
  </si>
  <si>
    <t>Time (year)</t>
  </si>
  <si>
    <t>grows from p[t-1] with inflation rate i</t>
  </si>
  <si>
    <t>grows from u[t-1] with GDP growth rate g</t>
  </si>
  <si>
    <t>grows from v[t-1] with inflation rate i</t>
  </si>
  <si>
    <t>grows from f[t-1] with inflation rate i</t>
  </si>
  <si>
    <t>+1 per year</t>
  </si>
  <si>
    <t>Quantities</t>
  </si>
  <si>
    <t>v[1]</t>
  </si>
  <si>
    <t>Note: Use Q4 value for annual rate (in %)</t>
  </si>
  <si>
    <t>2021-Q3</t>
  </si>
  <si>
    <t>2021-Q2</t>
  </si>
  <si>
    <t>2021-Q1</t>
  </si>
  <si>
    <t>2020-Q4</t>
  </si>
  <si>
    <t>Note: Use December value for index at end of year (and calculate %-change from these)</t>
  </si>
  <si>
    <t>2021-09</t>
  </si>
  <si>
    <t>108.02</t>
  </si>
  <si>
    <t>2021-08</t>
  </si>
  <si>
    <t>2021-07</t>
  </si>
  <si>
    <t>2021-06</t>
  </si>
  <si>
    <t>107.42</t>
  </si>
  <si>
    <t>2021-05</t>
  </si>
  <si>
    <t>2021-04</t>
  </si>
  <si>
    <t>2021-03</t>
  </si>
  <si>
    <t>105.80</t>
  </si>
  <si>
    <t>2021-02</t>
  </si>
  <si>
    <t>2021-01</t>
  </si>
  <si>
    <t>2020-12</t>
  </si>
  <si>
    <t>105.03</t>
  </si>
  <si>
    <t>2020-11</t>
  </si>
  <si>
    <t>2020-10</t>
  </si>
  <si>
    <t>fixed at 100'000€; does only occur initially (t=0)</t>
  </si>
  <si>
    <t>Devestment</t>
  </si>
  <si>
    <t>Total cashflow</t>
  </si>
  <si>
    <t>k[t}</t>
  </si>
  <si>
    <t>n[0]</t>
  </si>
  <si>
    <t>d[10]</t>
  </si>
  <si>
    <t>Total profit</t>
  </si>
  <si>
    <t>at end of year 10, sales proceeds amount to 8 times total profit in year 11</t>
  </si>
  <si>
    <t>=d[t]+e[t}+d[t}</t>
  </si>
  <si>
    <t>Total revenues</t>
  </si>
  <si>
    <t>Year</t>
  </si>
  <si>
    <t>Annual GDP Growth Rate</t>
  </si>
  <si>
    <t>Annual Inflation Rate</t>
  </si>
  <si>
    <t>Parameters-Test Hypothesized</t>
  </si>
  <si>
    <t>Scenario</t>
  </si>
  <si>
    <t>Best</t>
  </si>
  <si>
    <t>Normal</t>
  </si>
  <si>
    <t>Worst</t>
  </si>
  <si>
    <t>Inflation rate</t>
  </si>
  <si>
    <t>Mean</t>
  </si>
  <si>
    <t>Std.Dev</t>
  </si>
  <si>
    <t>No of observations</t>
  </si>
  <si>
    <t>Std Error</t>
  </si>
  <si>
    <t>DoF</t>
  </si>
  <si>
    <t>Correlation</t>
  </si>
  <si>
    <t>Desirable Periods</t>
  </si>
  <si>
    <t xml:space="preserve">Growth rate </t>
  </si>
  <si>
    <t>Level of Significance</t>
  </si>
  <si>
    <t>2-tailed T-test</t>
  </si>
  <si>
    <t>Scenerio:</t>
  </si>
  <si>
    <t>Hypothesized mean</t>
  </si>
  <si>
    <t>t-statistics</t>
  </si>
  <si>
    <t>Critical value</t>
  </si>
  <si>
    <t>Probability of wrongly reject hypothesis</t>
  </si>
  <si>
    <t>Message</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</si>
  <si>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</si>
  <si>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</si>
  <si>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</si>
  <si>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</si>
  <si>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</si>
  <si>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</si>
  <si>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</si>
  <si>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</si>
  <si>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</si>
  <si>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</si>
  <si>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</si>
  <si>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</si>
  <si>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</si>
  <si>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</si>
  <si>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</si>
  <si>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</si>
  <si>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</si>
  <si>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</si>
  <si>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</si>
  <si>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</si>
  <si>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</si>
  <si>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</si>
  <si>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</si>
  <si>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</si>
  <si>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X Variable 1</t>
  </si>
  <si>
    <t>Linear regression of the GDP growth rate on the inflation rate</t>
  </si>
  <si>
    <t>standard error of coefficient</t>
  </si>
  <si>
    <t>F-statistic</t>
  </si>
  <si>
    <t>ESS</t>
  </si>
  <si>
    <t>std.err. Residuals</t>
  </si>
  <si>
    <t>degree of freedom</t>
  </si>
  <si>
    <t>RSS</t>
  </si>
  <si>
    <t>R square</t>
  </si>
  <si>
    <t>intercept (b0)</t>
  </si>
  <si>
    <t>std.err of intercept</t>
  </si>
  <si>
    <t>Inclination (b1)</t>
  </si>
  <si>
    <t>Start Date:</t>
  </si>
  <si>
    <t>Growth Rate (g)</t>
  </si>
  <si>
    <t>Date</t>
  </si>
  <si>
    <t xml:space="preserve">        Unit price</t>
  </si>
  <si>
    <t xml:space="preserve">        Units sold</t>
  </si>
  <si>
    <t>-Total costs</t>
  </si>
  <si>
    <t xml:space="preserve">        Fixed costs</t>
  </si>
  <si>
    <t xml:space="preserve">        Variable costs</t>
  </si>
  <si>
    <t xml:space="preserve">             Variable unit costs</t>
  </si>
  <si>
    <t>Total Cash-Flow</t>
  </si>
  <si>
    <t>Valuation</t>
  </si>
  <si>
    <t>IRR</t>
  </si>
  <si>
    <t>Opportunity cost</t>
  </si>
  <si>
    <t>GDP growth</t>
  </si>
  <si>
    <t>inflation rate</t>
  </si>
  <si>
    <t>Random</t>
  </si>
  <si>
    <t>Initial unit price (t=1)</t>
  </si>
  <si>
    <t>Initial unit sold (t=1)</t>
  </si>
  <si>
    <t>Initial unit costs (t=1)</t>
  </si>
  <si>
    <t>Initial fixed costs (t=1)</t>
  </si>
  <si>
    <t>Using all historical data</t>
  </si>
  <si>
    <t>Using data of desirable Periods</t>
  </si>
  <si>
    <t>Summary of historical data</t>
  </si>
  <si>
    <t xml:space="preserve">The resulting R2 is exactly the same with the correlation of both time series 
(Because in case of univariate regression, the R2 equal to correlation square) </t>
  </si>
  <si>
    <t>Cash-flow Model</t>
  </si>
  <si>
    <t>Discount Factor</t>
  </si>
  <si>
    <t>Discounted Cashflow</t>
  </si>
  <si>
    <t>NPV</t>
  </si>
  <si>
    <t>*LINEST</t>
  </si>
  <si>
    <t>* Data Analyis -&gt; Regression</t>
  </si>
  <si>
    <t>Simulation</t>
  </si>
  <si>
    <t>Std.err of coefficient</t>
  </si>
  <si>
    <t>*Sensitivity of the IRR to changes in GDP growth and inflation rate</t>
  </si>
  <si>
    <r>
      <t xml:space="preserve">The resulting R2 is exactly the same with the correlation of both time series 
</t>
    </r>
    <r>
      <rPr>
        <sz val="9"/>
        <color theme="1"/>
        <rFont val="Calibri"/>
        <family val="2"/>
        <scheme val="minor"/>
      </rPr>
      <t xml:space="preserve">(Because in case of univariate regression, the R2 equal to correlation square) </t>
    </r>
  </si>
  <si>
    <t>Inflation Rate</t>
  </si>
  <si>
    <t>Inclination (beta 1)</t>
  </si>
  <si>
    <t>Intercept (beta 0)</t>
  </si>
  <si>
    <t>P-value (Probability of wrongly rejecting the null hypothesis)</t>
  </si>
  <si>
    <t>Total Revenues</t>
  </si>
  <si>
    <t>Proposal</t>
  </si>
  <si>
    <t>Standard Deviation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</si>
</sst>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 &quot;€&quot;;[Red]\-#,##0\ &quot;€&quot;"/>
    <numFmt numFmtId="165" formatCode="0.0%"/>
    <numFmt numFmtId="166" formatCode="0.000"/>
    <numFmt numFmtId="167" formatCode="0.0000"/>
    <numFmt numFmtId="168" formatCode="0.000%"/>
  </numFmts>
  <fonts count="25" x14ac:knownFonts="1">
    <font>
      <sz val="11"/>
      <color theme="1"/>
      <name val="Calibri"/>
      <family val="2"/>
      <scheme val="minor"/>
    </font>
    <font>
      <b/>
      <sz val="11"/>
      <color theme="1"/>
      <name val="Calibri"/>
      <family val="2"/>
      <scheme val="minor"/>
    </font>
    <font>
      <sz val="11"/>
      <color rgb="FF191919"/>
      <name val="Verdana"/>
      <family val="2"/>
    </font>
    <font>
      <sz val="7.5"/>
      <color rgb="FF191919"/>
      <name val="Verdana"/>
      <family val="2"/>
    </font>
    <font>
      <sz val="11"/>
      <color rgb="FFFF0000"/>
      <name val="Calibri"/>
      <family val="2"/>
      <scheme val="minor"/>
    </font>
    <font>
      <sz val="11"/>
      <name val="Calibri"/>
      <family val="2"/>
      <scheme val="minor"/>
    </font>
    <font>
      <sz val="11"/>
      <color theme="1"/>
      <name val="Calibri"/>
      <family val="2"/>
      <scheme val="minor"/>
    </font>
    <font>
      <sz val="9"/>
      <color theme="1"/>
      <name val="Calibri"/>
      <family val="2"/>
      <scheme val="minor"/>
    </font>
    <font>
      <sz val="10"/>
      <color theme="1"/>
      <name val="Calibri"/>
      <family val="2"/>
      <scheme val="minor"/>
    </font>
    <font>
      <sz val="9"/>
      <color rgb="FFFF0000"/>
      <name val="Calibri"/>
      <family val="2"/>
      <scheme val="minor"/>
    </font>
    <font>
      <b/>
      <sz val="9"/>
      <color theme="1"/>
      <name val="Calibri"/>
      <family val="2"/>
      <scheme val="minor"/>
    </font>
    <font>
      <b/>
      <sz val="9"/>
      <color rgb="FFFF0000"/>
      <name val="Calibri"/>
      <family val="2"/>
      <scheme val="minor"/>
    </font>
    <font>
      <i/>
      <sz val="9"/>
      <color theme="1"/>
      <name val="Calibri"/>
      <family val="2"/>
      <scheme val="minor"/>
    </font>
    <font>
      <b/>
      <sz val="9"/>
      <color rgb="FF000000"/>
      <name val="Calibri"/>
      <family val="2"/>
      <scheme val="minor"/>
    </font>
    <font>
      <sz val="9"/>
      <name val="Calibri"/>
      <family val="2"/>
      <scheme val="minor"/>
    </font>
    <font>
      <sz val="11"/>
      <color rgb="FF000000"/>
      <name val="Calibri"/>
      <family val="2"/>
    </font>
    <font>
      <b/>
      <sz val="9"/>
      <name val="Calibri"/>
      <family val="2"/>
      <scheme val="minor"/>
    </font>
    <font>
      <b/>
      <sz val="11"/>
      <name val="Calibri"/>
      <family val="2"/>
      <scheme val="minor"/>
    </font>
    <font>
      <b/>
      <sz val="10"/>
      <color rgb="FFFF0000"/>
      <name val="Calibri"/>
      <family val="2"/>
      <scheme val="minor"/>
    </font>
    <font>
      <b/>
      <sz val="10"/>
      <color theme="1"/>
      <name val="Calibri"/>
      <family val="2"/>
      <scheme val="minor"/>
    </font>
    <font>
      <b/>
      <sz val="9"/>
      <color theme="9"/>
      <name val="Calibri"/>
      <family val="2"/>
      <scheme val="minor"/>
    </font>
    <font>
      <sz val="9"/>
      <color indexed="81"/>
      <name val="Tahoma"/>
      <family val="2"/>
    </font>
    <font>
      <b/>
      <sz val="9"/>
      <color indexed="81"/>
      <name val="Tahoma"/>
      <family val="2"/>
    </font>
    <font>
      <b/>
      <sz val="12"/>
      <color theme="1"/>
      <name val="Calibri"/>
      <family val="2"/>
      <scheme val="minor"/>
    </font>
    <font>
      <b/>
      <sz val="12"/>
      <color theme="9" tint="-0.499984740745262"/>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9" tint="0.59999389629810485"/>
        <bgColor indexed="64"/>
      </patternFill>
    </fill>
  </fills>
  <borders count="20">
    <border>
      <left/>
      <right/>
      <top/>
      <bottom/>
      <diagonal/>
    </border>
    <border>
      <left style="medium">
        <color indexed="64"/>
      </left>
      <right style="medium">
        <color rgb="FF000000"/>
      </right>
      <top style="medium">
        <color indexed="64"/>
      </top>
      <bottom style="medium">
        <color indexed="64"/>
      </bottom>
      <diagonal/>
    </border>
    <border>
      <left style="medium">
        <color rgb="FF000000"/>
      </left>
      <right style="medium">
        <color rgb="FF000000"/>
      </right>
      <top style="medium">
        <color indexed="64"/>
      </top>
      <bottom style="medium">
        <color indexed="64"/>
      </bottom>
      <diagonal/>
    </border>
    <border>
      <left style="medium">
        <color rgb="FF000000"/>
      </left>
      <right style="medium">
        <color indexed="64"/>
      </right>
      <top style="medium">
        <color indexed="64"/>
      </top>
      <bottom style="medium">
        <color indexed="64"/>
      </bottom>
      <diagonal/>
    </border>
    <border>
      <left/>
      <right style="medium">
        <color rgb="FF000000"/>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3">
    <xf numFmtId="0" fontId="0" fillId="0" borderId="0"/>
    <xf numFmtId="43" fontId="6" fillId="0" borderId="0" applyFont="0" applyFill="0" applyBorder="0" applyAlignment="0" applyProtection="0"/>
    <xf numFmtId="9" fontId="6" fillId="0" borderId="0" applyFont="0" applyFill="0" applyBorder="0" applyAlignment="0" applyProtection="0"/>
  </cellStyleXfs>
  <cellXfs count="193">
    <xf numFmtId="0" fontId="0" fillId="0" borderId="0" xfId="0"/>
    <xf numFmtId="0" fontId="2" fillId="0" borderId="0" xfId="0" applyFont="1" applyAlignment="1">
      <alignment vertical="center" wrapText="1"/>
    </xf>
    <xf numFmtId="0" fontId="2" fillId="0" borderId="0" xfId="0" applyFont="1" applyAlignment="1">
      <alignment horizontal="right" vertical="center" wrapText="1"/>
    </xf>
    <xf numFmtId="0" fontId="2" fillId="0" borderId="0" xfId="0" applyFont="1" applyAlignment="1">
      <alignment horizontal="center" vertical="center" wrapText="1"/>
    </xf>
    <xf numFmtId="2" fontId="2" fillId="0" borderId="0" xfId="0" applyNumberFormat="1" applyFont="1" applyAlignment="1">
      <alignment horizontal="right" vertical="center" wrapText="1"/>
    </xf>
    <xf numFmtId="0" fontId="1" fillId="0" borderId="0" xfId="0" applyFont="1"/>
    <xf numFmtId="0" fontId="0" fillId="0" borderId="0" xfId="0" quotePrefix="1"/>
    <xf numFmtId="164" fontId="0" fillId="0" borderId="0" xfId="0" applyNumberFormat="1" applyAlignment="1">
      <alignment horizontal="left"/>
    </xf>
    <xf numFmtId="0" fontId="4" fillId="0" borderId="0" xfId="0" applyFont="1"/>
    <xf numFmtId="0" fontId="3" fillId="2" borderId="1" xfId="0" applyFont="1" applyFill="1" applyBorder="1" applyAlignment="1">
      <alignment horizontal="left" wrapText="1"/>
    </xf>
    <xf numFmtId="0" fontId="3" fillId="2" borderId="2" xfId="0" applyFont="1" applyFill="1" applyBorder="1" applyAlignment="1">
      <alignment horizontal="left" wrapText="1"/>
    </xf>
    <xf numFmtId="0" fontId="3" fillId="2" borderId="3" xfId="0" applyFont="1" applyFill="1" applyBorder="1" applyAlignment="1">
      <alignment horizontal="left" wrapText="1"/>
    </xf>
    <xf numFmtId="0" fontId="5" fillId="0" borderId="0" xfId="0" applyFont="1"/>
    <xf numFmtId="164" fontId="5" fillId="0" borderId="0" xfId="0" applyNumberFormat="1" applyFont="1" applyAlignment="1">
      <alignment horizontal="left"/>
    </xf>
    <xf numFmtId="0" fontId="3" fillId="2" borderId="4" xfId="0" applyFont="1" applyFill="1" applyBorder="1" applyAlignment="1">
      <alignment horizontal="left" wrapText="1"/>
    </xf>
    <xf numFmtId="0" fontId="7" fillId="4" borderId="0" xfId="0" applyFont="1" applyFill="1"/>
    <xf numFmtId="10" fontId="7" fillId="4" borderId="0" xfId="2" applyNumberFormat="1" applyFont="1" applyFill="1" applyBorder="1"/>
    <xf numFmtId="0" fontId="7" fillId="4" borderId="0" xfId="0" applyFont="1" applyFill="1" applyAlignment="1">
      <alignment horizontal="center"/>
    </xf>
    <xf numFmtId="0" fontId="10" fillId="4" borderId="0" xfId="0" applyFont="1" applyFill="1"/>
    <xf numFmtId="9" fontId="10" fillId="4" borderId="0" xfId="0" applyNumberFormat="1" applyFont="1" applyFill="1"/>
    <xf numFmtId="0" fontId="11" fillId="4" borderId="0" xfId="0" applyFont="1" applyFill="1"/>
    <xf numFmtId="0" fontId="7" fillId="4" borderId="5" xfId="0" applyFont="1" applyFill="1" applyBorder="1" applyAlignment="1">
      <alignment horizontal="center" vertical="center"/>
    </xf>
    <xf numFmtId="0" fontId="7" fillId="4" borderId="5" xfId="0" applyFont="1" applyFill="1" applyBorder="1" applyAlignment="1">
      <alignment horizontal="center" vertical="center" wrapText="1"/>
    </xf>
    <xf numFmtId="0" fontId="7" fillId="4" borderId="0" xfId="0" applyFont="1" applyFill="1" applyAlignment="1">
      <alignment vertical="center"/>
    </xf>
    <xf numFmtId="0" fontId="7" fillId="4" borderId="9" xfId="0" applyFont="1" applyFill="1" applyBorder="1" applyAlignment="1">
      <alignment horizontal="center" vertical="center"/>
    </xf>
    <xf numFmtId="0" fontId="12" fillId="4" borderId="11" xfId="0" applyFont="1" applyFill="1" applyBorder="1" applyAlignment="1">
      <alignment horizontal="centerContinuous"/>
    </xf>
    <xf numFmtId="0" fontId="7" fillId="4" borderId="5" xfId="0" applyFont="1" applyFill="1" applyBorder="1" applyAlignment="1">
      <alignment horizontal="center"/>
    </xf>
    <xf numFmtId="10" fontId="7" fillId="4" borderId="5" xfId="2" applyNumberFormat="1" applyFont="1" applyFill="1" applyBorder="1"/>
    <xf numFmtId="0" fontId="7" fillId="4" borderId="5" xfId="0" applyFont="1" applyFill="1" applyBorder="1"/>
    <xf numFmtId="2" fontId="7" fillId="4" borderId="5" xfId="0" applyNumberFormat="1" applyFont="1" applyFill="1" applyBorder="1"/>
    <xf numFmtId="1" fontId="7" fillId="4" borderId="5" xfId="0" applyNumberFormat="1" applyFont="1" applyFill="1" applyBorder="1"/>
    <xf numFmtId="167" fontId="7" fillId="4" borderId="5" xfId="0" applyNumberFormat="1" applyFont="1" applyFill="1" applyBorder="1" applyAlignment="1">
      <alignment vertical="center"/>
    </xf>
    <xf numFmtId="0" fontId="7" fillId="4" borderId="5" xfId="0" applyFont="1" applyFill="1" applyBorder="1" applyAlignment="1">
      <alignment horizontal="left" wrapText="1"/>
    </xf>
    <xf numFmtId="2" fontId="7" fillId="4" borderId="5" xfId="0" applyNumberFormat="1" applyFont="1" applyFill="1" applyBorder="1" applyAlignment="1">
      <alignment vertical="center"/>
    </xf>
    <xf numFmtId="0" fontId="9" fillId="4" borderId="5" xfId="0" applyFont="1" applyFill="1" applyBorder="1"/>
    <xf numFmtId="0" fontId="9" fillId="4" borderId="5" xfId="0" applyFont="1" applyFill="1" applyBorder="1" applyAlignment="1">
      <alignment horizontal="center"/>
    </xf>
    <xf numFmtId="0" fontId="7" fillId="4" borderId="10" xfId="0" applyFont="1" applyFill="1" applyBorder="1"/>
    <xf numFmtId="166" fontId="7" fillId="4" borderId="0" xfId="0" applyNumberFormat="1" applyFont="1" applyFill="1" applyAlignment="1">
      <alignment horizontal="center"/>
    </xf>
    <xf numFmtId="0" fontId="13" fillId="4" borderId="0" xfId="0" applyFont="1" applyFill="1"/>
    <xf numFmtId="0" fontId="12" fillId="4" borderId="11" xfId="0" applyFont="1" applyFill="1" applyBorder="1" applyAlignment="1">
      <alignment horizontal="center"/>
    </xf>
    <xf numFmtId="0" fontId="7" fillId="4" borderId="5" xfId="0" applyFont="1" applyFill="1" applyBorder="1" applyAlignment="1">
      <alignment horizontal="left"/>
    </xf>
    <xf numFmtId="0" fontId="7" fillId="4" borderId="5" xfId="0" applyFont="1" applyFill="1" applyBorder="1" applyAlignment="1">
      <alignment horizontal="right"/>
    </xf>
    <xf numFmtId="0" fontId="14" fillId="4" borderId="5" xfId="0" applyFont="1" applyFill="1" applyBorder="1" applyAlignment="1">
      <alignment horizontal="left"/>
    </xf>
    <xf numFmtId="0" fontId="10" fillId="4" borderId="5" xfId="0" applyFont="1" applyFill="1" applyBorder="1"/>
    <xf numFmtId="10" fontId="7" fillId="4" borderId="5" xfId="0" applyNumberFormat="1" applyFont="1" applyFill="1" applyBorder="1"/>
    <xf numFmtId="0" fontId="14" fillId="4" borderId="5" xfId="0" applyFont="1" applyFill="1" applyBorder="1" applyAlignment="1">
      <alignment horizontal="right"/>
    </xf>
    <xf numFmtId="0" fontId="7" fillId="4" borderId="5" xfId="0" applyFont="1" applyFill="1" applyBorder="1" applyAlignment="1">
      <alignment vertical="center" wrapText="1"/>
    </xf>
    <xf numFmtId="0" fontId="7" fillId="5" borderId="0" xfId="0" applyFont="1" applyFill="1"/>
    <xf numFmtId="10" fontId="7" fillId="5" borderId="0" xfId="2" applyNumberFormat="1" applyFont="1" applyFill="1" applyBorder="1"/>
    <xf numFmtId="10" fontId="7" fillId="5" borderId="0" xfId="2" applyNumberFormat="1" applyFont="1" applyFill="1" applyBorder="1" applyAlignment="1">
      <alignment vertical="center"/>
    </xf>
    <xf numFmtId="0" fontId="11" fillId="4" borderId="0" xfId="0" applyFont="1" applyFill="1" applyAlignment="1">
      <alignment horizontal="right"/>
    </xf>
    <xf numFmtId="10" fontId="7" fillId="4" borderId="5" xfId="2" applyNumberFormat="1" applyFont="1" applyFill="1" applyBorder="1" applyAlignment="1">
      <alignment horizontal="right"/>
    </xf>
    <xf numFmtId="10" fontId="7" fillId="4" borderId="5" xfId="0" applyNumberFormat="1" applyFont="1" applyFill="1" applyBorder="1" applyAlignment="1">
      <alignment horizontal="right"/>
    </xf>
    <xf numFmtId="0" fontId="0" fillId="4" borderId="0" xfId="0" applyFill="1"/>
    <xf numFmtId="0" fontId="0" fillId="4" borderId="0" xfId="0" applyFill="1" applyProtection="1">
      <protection locked="0"/>
    </xf>
    <xf numFmtId="0" fontId="0" fillId="6" borderId="0" xfId="0" applyFill="1" applyProtection="1">
      <protection locked="0"/>
    </xf>
    <xf numFmtId="0" fontId="7" fillId="4" borderId="0" xfId="0" applyFont="1" applyFill="1" applyProtection="1">
      <protection locked="0"/>
    </xf>
    <xf numFmtId="0" fontId="7" fillId="4" borderId="0" xfId="0" applyFont="1" applyFill="1" applyAlignment="1" applyProtection="1">
      <alignment horizontal="center"/>
      <protection locked="0"/>
    </xf>
    <xf numFmtId="166" fontId="7" fillId="4" borderId="0" xfId="0" applyNumberFormat="1" applyFont="1" applyFill="1" applyAlignment="1" applyProtection="1">
      <alignment horizontal="center"/>
      <protection locked="0"/>
    </xf>
    <xf numFmtId="0" fontId="7" fillId="5" borderId="0" xfId="0" applyFont="1" applyFill="1" applyProtection="1">
      <protection locked="0"/>
    </xf>
    <xf numFmtId="10" fontId="7" fillId="5" borderId="0" xfId="2" applyNumberFormat="1" applyFont="1" applyFill="1" applyBorder="1" applyProtection="1">
      <protection locked="0"/>
    </xf>
    <xf numFmtId="0" fontId="10" fillId="4" borderId="5" xfId="0" applyFont="1" applyFill="1" applyBorder="1" applyProtection="1">
      <protection locked="0"/>
    </xf>
    <xf numFmtId="10" fontId="7" fillId="4" borderId="5" xfId="0" applyNumberFormat="1" applyFont="1" applyFill="1" applyBorder="1" applyProtection="1">
      <protection locked="0"/>
    </xf>
    <xf numFmtId="10" fontId="7" fillId="5" borderId="0" xfId="2" applyNumberFormat="1" applyFont="1" applyFill="1" applyBorder="1" applyAlignment="1" applyProtection="1">
      <alignment vertical="center"/>
      <protection locked="0"/>
    </xf>
    <xf numFmtId="0" fontId="12" fillId="4" borderId="11" xfId="0" applyFont="1" applyFill="1" applyBorder="1" applyAlignment="1" applyProtection="1">
      <alignment horizontal="centerContinuous"/>
      <protection locked="0"/>
    </xf>
    <xf numFmtId="10" fontId="7" fillId="4" borderId="5" xfId="2" applyNumberFormat="1" applyFont="1" applyFill="1" applyBorder="1" applyProtection="1">
      <protection locked="0"/>
    </xf>
    <xf numFmtId="0" fontId="7" fillId="4" borderId="10" xfId="0" applyFont="1" applyFill="1" applyBorder="1" applyProtection="1">
      <protection locked="0"/>
    </xf>
    <xf numFmtId="0" fontId="10" fillId="4" borderId="0" xfId="0" applyFont="1" applyFill="1" applyAlignment="1" applyProtection="1">
      <alignment vertical="center"/>
      <protection locked="0"/>
    </xf>
    <xf numFmtId="0" fontId="11" fillId="4" borderId="0" xfId="0" applyFont="1" applyFill="1" applyAlignment="1" applyProtection="1">
      <alignment horizontal="right" vertical="center"/>
      <protection locked="0"/>
    </xf>
    <xf numFmtId="0" fontId="7" fillId="4" borderId="0" xfId="0" applyFont="1" applyFill="1" applyAlignment="1" applyProtection="1">
      <alignment vertical="center"/>
      <protection locked="0"/>
    </xf>
    <xf numFmtId="0" fontId="13" fillId="4" borderId="0" xfId="0" applyFont="1" applyFill="1" applyProtection="1">
      <protection locked="0"/>
    </xf>
    <xf numFmtId="0" fontId="12" fillId="4" borderId="11" xfId="0" applyFont="1" applyFill="1" applyBorder="1" applyAlignment="1" applyProtection="1">
      <alignment horizontal="center"/>
      <protection locked="0"/>
    </xf>
    <xf numFmtId="0" fontId="7" fillId="4" borderId="5" xfId="0" applyFont="1" applyFill="1" applyBorder="1" applyAlignment="1" applyProtection="1">
      <alignment horizontal="left"/>
      <protection locked="0"/>
    </xf>
    <xf numFmtId="2" fontId="7" fillId="4" borderId="5" xfId="0" applyNumberFormat="1" applyFont="1" applyFill="1" applyBorder="1" applyProtection="1">
      <protection locked="0"/>
    </xf>
    <xf numFmtId="0" fontId="7" fillId="4" borderId="5" xfId="0" applyFont="1" applyFill="1" applyBorder="1" applyAlignment="1" applyProtection="1">
      <alignment horizontal="right"/>
      <protection locked="0"/>
    </xf>
    <xf numFmtId="0" fontId="14" fillId="4" borderId="5" xfId="0" applyFont="1" applyFill="1" applyBorder="1" applyAlignment="1" applyProtection="1">
      <alignment horizontal="left"/>
      <protection locked="0"/>
    </xf>
    <xf numFmtId="0" fontId="14" fillId="4" borderId="5" xfId="0" applyFont="1" applyFill="1" applyBorder="1" applyAlignment="1" applyProtection="1">
      <alignment horizontal="right"/>
      <protection locked="0"/>
    </xf>
    <xf numFmtId="10" fontId="7" fillId="4" borderId="0" xfId="2" applyNumberFormat="1" applyFont="1" applyFill="1" applyBorder="1" applyProtection="1">
      <protection locked="0"/>
    </xf>
    <xf numFmtId="14" fontId="0" fillId="4" borderId="5" xfId="0" applyNumberFormat="1" applyFill="1" applyBorder="1" applyAlignment="1" applyProtection="1">
      <alignment horizontal="center"/>
      <protection locked="0"/>
    </xf>
    <xf numFmtId="0" fontId="8" fillId="4" borderId="5" xfId="0" applyFont="1" applyFill="1" applyBorder="1"/>
    <xf numFmtId="14" fontId="8" fillId="4" borderId="5" xfId="0" applyNumberFormat="1" applyFont="1" applyFill="1" applyBorder="1"/>
    <xf numFmtId="1" fontId="8" fillId="4" borderId="5" xfId="0" applyNumberFormat="1" applyFont="1" applyFill="1" applyBorder="1" applyAlignment="1">
      <alignment horizontal="center"/>
    </xf>
    <xf numFmtId="3" fontId="8" fillId="4" borderId="5" xfId="1" quotePrefix="1" applyNumberFormat="1" applyFont="1" applyFill="1" applyBorder="1" applyAlignment="1" applyProtection="1">
      <alignment horizontal="right"/>
    </xf>
    <xf numFmtId="0" fontId="8" fillId="4" borderId="5" xfId="0" quotePrefix="1" applyFont="1" applyFill="1" applyBorder="1"/>
    <xf numFmtId="0" fontId="10" fillId="4" borderId="0" xfId="0" applyFont="1" applyFill="1" applyAlignment="1">
      <alignment vertical="center"/>
    </xf>
    <xf numFmtId="9" fontId="10" fillId="4" borderId="0" xfId="0" applyNumberFormat="1" applyFont="1" applyFill="1" applyAlignment="1">
      <alignment horizontal="left" vertical="center"/>
    </xf>
    <xf numFmtId="10" fontId="7" fillId="4" borderId="5" xfId="2" applyNumberFormat="1" applyFont="1" applyFill="1" applyBorder="1" applyAlignment="1" applyProtection="1">
      <alignment horizontal="right"/>
    </xf>
    <xf numFmtId="0" fontId="7" fillId="4" borderId="5" xfId="0" applyFont="1" applyFill="1" applyBorder="1" applyAlignment="1">
      <alignment horizontal="left" vertical="center" wrapText="1"/>
    </xf>
    <xf numFmtId="168" fontId="7" fillId="4" borderId="5" xfId="2" applyNumberFormat="1" applyFont="1" applyFill="1" applyBorder="1" applyAlignment="1" applyProtection="1">
      <alignment vertical="center"/>
    </xf>
    <xf numFmtId="0" fontId="16" fillId="4" borderId="5" xfId="0" applyFont="1" applyFill="1" applyBorder="1"/>
    <xf numFmtId="0" fontId="20" fillId="4" borderId="5" xfId="0" applyFont="1" applyFill="1" applyBorder="1" applyAlignment="1">
      <alignment horizontal="center"/>
    </xf>
    <xf numFmtId="0" fontId="17" fillId="4" borderId="0" xfId="0" applyFont="1" applyFill="1" applyAlignment="1" applyProtection="1">
      <alignment vertical="center"/>
      <protection locked="0"/>
    </xf>
    <xf numFmtId="0" fontId="16" fillId="4" borderId="0" xfId="0" applyFont="1" applyFill="1" applyAlignment="1" applyProtection="1">
      <alignment vertical="center"/>
      <protection locked="0"/>
    </xf>
    <xf numFmtId="0" fontId="12" fillId="4" borderId="0" xfId="0" applyFont="1" applyFill="1" applyAlignment="1" applyProtection="1">
      <alignment horizontal="center" vertical="center"/>
      <protection locked="0"/>
    </xf>
    <xf numFmtId="0" fontId="10" fillId="4" borderId="0" xfId="0" applyFont="1" applyFill="1" applyProtection="1">
      <protection locked="0"/>
    </xf>
    <xf numFmtId="0" fontId="12" fillId="4" borderId="0" xfId="0" applyFont="1" applyFill="1" applyAlignment="1" applyProtection="1">
      <alignment horizontal="center"/>
      <protection locked="0"/>
    </xf>
    <xf numFmtId="0" fontId="10" fillId="4" borderId="5" xfId="0" applyFont="1" applyFill="1" applyBorder="1" applyAlignment="1">
      <alignment horizontal="left" vertical="center"/>
    </xf>
    <xf numFmtId="166" fontId="7" fillId="7" borderId="5" xfId="0" applyNumberFormat="1" applyFont="1" applyFill="1" applyBorder="1" applyAlignment="1">
      <alignment vertical="center"/>
    </xf>
    <xf numFmtId="166" fontId="7" fillId="3" borderId="5" xfId="0" applyNumberFormat="1" applyFont="1" applyFill="1" applyBorder="1" applyAlignment="1">
      <alignment vertical="center"/>
    </xf>
    <xf numFmtId="0" fontId="10" fillId="4" borderId="5" xfId="0" applyFont="1" applyFill="1" applyBorder="1" applyAlignment="1">
      <alignment horizontal="right" vertical="center"/>
    </xf>
    <xf numFmtId="0" fontId="14" fillId="4" borderId="5" xfId="0" applyFont="1" applyFill="1" applyBorder="1" applyAlignment="1">
      <alignment horizontal="left" vertical="center"/>
    </xf>
    <xf numFmtId="166" fontId="7" fillId="4" borderId="5" xfId="0" applyNumberFormat="1" applyFont="1" applyFill="1" applyBorder="1" applyAlignment="1">
      <alignment vertical="center"/>
    </xf>
    <xf numFmtId="0" fontId="7" fillId="4" borderId="5" xfId="0" applyFont="1" applyFill="1" applyBorder="1" applyAlignment="1">
      <alignment horizontal="right" vertical="center"/>
    </xf>
    <xf numFmtId="0" fontId="16" fillId="4" borderId="5" xfId="0" applyFont="1" applyFill="1" applyBorder="1" applyAlignment="1">
      <alignment horizontal="left" vertical="center"/>
    </xf>
    <xf numFmtId="166" fontId="7" fillId="8" borderId="5" xfId="0" applyNumberFormat="1" applyFont="1" applyFill="1" applyBorder="1" applyAlignment="1">
      <alignment vertical="center"/>
    </xf>
    <xf numFmtId="0" fontId="14" fillId="4" borderId="5" xfId="0" applyFont="1" applyFill="1" applyBorder="1" applyAlignment="1">
      <alignment horizontal="right" vertical="center"/>
    </xf>
    <xf numFmtId="0" fontId="0" fillId="6" borderId="0" xfId="0" applyFill="1"/>
    <xf numFmtId="0" fontId="0" fillId="4" borderId="5" xfId="0" applyFill="1" applyBorder="1" applyProtection="1">
      <protection locked="0"/>
    </xf>
    <xf numFmtId="0" fontId="1" fillId="4" borderId="0" xfId="0" applyFont="1" applyFill="1" applyProtection="1">
      <protection locked="0"/>
    </xf>
    <xf numFmtId="0" fontId="1" fillId="4" borderId="5" xfId="0" applyFont="1" applyFill="1" applyBorder="1" applyProtection="1">
      <protection locked="0"/>
    </xf>
    <xf numFmtId="0" fontId="18" fillId="4" borderId="5" xfId="0" applyFont="1" applyFill="1" applyBorder="1" applyAlignment="1" applyProtection="1">
      <alignment horizontal="right"/>
      <protection locked="0"/>
    </xf>
    <xf numFmtId="10" fontId="0" fillId="4" borderId="5" xfId="2" applyNumberFormat="1" applyFont="1" applyFill="1" applyBorder="1" applyProtection="1">
      <protection locked="0"/>
    </xf>
    <xf numFmtId="0" fontId="0" fillId="4" borderId="0" xfId="0" quotePrefix="1" applyFill="1" applyProtection="1">
      <protection locked="0"/>
    </xf>
    <xf numFmtId="164" fontId="0" fillId="4" borderId="0" xfId="0" applyNumberFormat="1" applyFill="1" applyAlignment="1" applyProtection="1">
      <alignment horizontal="left"/>
      <protection locked="0"/>
    </xf>
    <xf numFmtId="1" fontId="0" fillId="4" borderId="5" xfId="0" applyNumberFormat="1" applyFill="1" applyBorder="1" applyProtection="1">
      <protection locked="0"/>
    </xf>
    <xf numFmtId="0" fontId="5" fillId="4" borderId="0" xfId="0" applyFont="1" applyFill="1" applyProtection="1">
      <protection locked="0"/>
    </xf>
    <xf numFmtId="164" fontId="5" fillId="4" borderId="0" xfId="0" applyNumberFormat="1" applyFont="1" applyFill="1" applyAlignment="1" applyProtection="1">
      <alignment horizontal="left"/>
      <protection locked="0"/>
    </xf>
    <xf numFmtId="0" fontId="19" fillId="4" borderId="5" xfId="0" applyFont="1" applyFill="1" applyBorder="1"/>
    <xf numFmtId="0" fontId="1" fillId="4" borderId="0" xfId="0" applyFont="1" applyFill="1"/>
    <xf numFmtId="0" fontId="0" fillId="4" borderId="5" xfId="0" applyFill="1" applyBorder="1"/>
    <xf numFmtId="2" fontId="0" fillId="4" borderId="5" xfId="0" applyNumberFormat="1" applyFill="1" applyBorder="1"/>
    <xf numFmtId="3" fontId="0" fillId="4" borderId="5" xfId="1" applyNumberFormat="1" applyFont="1" applyFill="1" applyBorder="1" applyProtection="1"/>
    <xf numFmtId="3" fontId="0" fillId="4" borderId="0" xfId="1" applyNumberFormat="1" applyFont="1" applyFill="1" applyProtection="1"/>
    <xf numFmtId="10" fontId="0" fillId="4" borderId="5" xfId="0" applyNumberFormat="1" applyFill="1" applyBorder="1" applyProtection="1">
      <protection locked="0"/>
    </xf>
    <xf numFmtId="168" fontId="0" fillId="4" borderId="5" xfId="0" applyNumberFormat="1" applyFill="1" applyBorder="1" applyProtection="1">
      <protection locked="0"/>
    </xf>
    <xf numFmtId="165" fontId="0" fillId="4" borderId="5" xfId="2" applyNumberFormat="1" applyFont="1" applyFill="1" applyBorder="1" applyProtection="1">
      <protection locked="0"/>
    </xf>
    <xf numFmtId="168" fontId="0" fillId="4" borderId="5" xfId="2" applyNumberFormat="1" applyFont="1" applyFill="1" applyBorder="1" applyProtection="1">
      <protection locked="0"/>
    </xf>
    <xf numFmtId="168" fontId="0" fillId="4" borderId="0" xfId="2" applyNumberFormat="1" applyFont="1" applyFill="1" applyProtection="1">
      <protection locked="0"/>
    </xf>
    <xf numFmtId="0" fontId="0" fillId="7" borderId="0" xfId="0" applyFill="1" applyProtection="1">
      <protection locked="0"/>
    </xf>
    <xf numFmtId="3" fontId="19" fillId="4" borderId="5" xfId="1" quotePrefix="1" applyNumberFormat="1" applyFont="1" applyFill="1" applyBorder="1" applyAlignment="1" applyProtection="1">
      <alignment horizontal="right"/>
    </xf>
    <xf numFmtId="0" fontId="0" fillId="9" borderId="0" xfId="0" applyFill="1" applyProtection="1">
      <protection locked="0"/>
    </xf>
    <xf numFmtId="0" fontId="23" fillId="9" borderId="0" xfId="0" applyFont="1" applyFill="1" applyAlignment="1" applyProtection="1">
      <alignment vertical="center"/>
      <protection locked="0"/>
    </xf>
    <xf numFmtId="0" fontId="23" fillId="6" borderId="0" xfId="0" applyFont="1" applyFill="1" applyAlignment="1">
      <alignment vertical="center"/>
    </xf>
    <xf numFmtId="0" fontId="23" fillId="4" borderId="5" xfId="0" applyFont="1" applyFill="1" applyBorder="1" applyAlignment="1">
      <alignment vertical="center"/>
    </xf>
    <xf numFmtId="3" fontId="0" fillId="4" borderId="12" xfId="0" applyNumberFormat="1" applyFill="1" applyBorder="1"/>
    <xf numFmtId="10" fontId="0" fillId="4" borderId="12" xfId="0" applyNumberFormat="1" applyFill="1" applyBorder="1"/>
    <xf numFmtId="3" fontId="0" fillId="4" borderId="13" xfId="0" applyNumberFormat="1" applyFill="1" applyBorder="1"/>
    <xf numFmtId="10" fontId="0" fillId="4" borderId="13" xfId="0" applyNumberFormat="1" applyFill="1" applyBorder="1"/>
    <xf numFmtId="10" fontId="0" fillId="4" borderId="0" xfId="0" applyNumberFormat="1" applyFill="1"/>
    <xf numFmtId="10" fontId="0" fillId="4" borderId="16" xfId="0" applyNumberFormat="1" applyFill="1" applyBorder="1"/>
    <xf numFmtId="10" fontId="0" fillId="4" borderId="8" xfId="0" applyNumberFormat="1" applyFill="1" applyBorder="1"/>
    <xf numFmtId="3" fontId="0" fillId="4" borderId="19" xfId="0" applyNumberFormat="1" applyFill="1" applyBorder="1"/>
    <xf numFmtId="10" fontId="0" fillId="4" borderId="19" xfId="0" applyNumberFormat="1" applyFill="1" applyBorder="1"/>
    <xf numFmtId="0" fontId="23" fillId="7" borderId="0" xfId="0" applyFont="1" applyFill="1" applyAlignment="1" applyProtection="1">
      <alignment vertical="center"/>
      <protection locked="0"/>
    </xf>
    <xf numFmtId="0" fontId="10" fillId="4" borderId="17" xfId="0" applyFont="1" applyFill="1" applyBorder="1" applyAlignment="1" applyProtection="1">
      <alignment horizontal="center" vertical="center"/>
      <protection locked="0"/>
    </xf>
    <xf numFmtId="10" fontId="7" fillId="4" borderId="0" xfId="2" applyNumberFormat="1" applyFont="1" applyFill="1" applyBorder="1" applyAlignment="1" applyProtection="1">
      <alignment horizontal="center" vertical="center" wrapText="1"/>
      <protection locked="0"/>
    </xf>
    <xf numFmtId="165" fontId="0" fillId="4" borderId="0" xfId="2" applyNumberFormat="1" applyFont="1" applyFill="1" applyBorder="1" applyAlignment="1" applyProtection="1">
      <alignment horizontal="center" vertical="center"/>
      <protection locked="0"/>
    </xf>
    <xf numFmtId="0" fontId="0" fillId="4" borderId="5" xfId="0" applyFill="1" applyBorder="1" applyAlignment="1" applyProtection="1">
      <alignment horizontal="center"/>
      <protection locked="0"/>
    </xf>
    <xf numFmtId="0" fontId="0" fillId="4" borderId="0" xfId="0" applyFill="1" applyAlignment="1" applyProtection="1">
      <alignment horizontal="center"/>
      <protection locked="0"/>
    </xf>
    <xf numFmtId="10" fontId="0" fillId="4" borderId="0" xfId="2" applyNumberFormat="1" applyFont="1" applyFill="1" applyProtection="1">
      <protection locked="0"/>
    </xf>
    <xf numFmtId="165" fontId="0" fillId="4" borderId="0" xfId="2" applyNumberFormat="1" applyFont="1" applyFill="1" applyProtection="1">
      <protection locked="0"/>
    </xf>
    <xf numFmtId="10" fontId="7" fillId="4" borderId="5" xfId="2" applyNumberFormat="1" applyFont="1" applyFill="1" applyBorder="1" applyAlignment="1" applyProtection="1">
      <alignment horizontal="center" vertical="center" wrapText="1"/>
    </xf>
    <xf numFmtId="165" fontId="0" fillId="4" borderId="5" xfId="2" applyNumberFormat="1" applyFont="1" applyFill="1" applyBorder="1" applyAlignment="1" applyProtection="1">
      <alignment horizontal="center" vertical="center"/>
    </xf>
    <xf numFmtId="9" fontId="0" fillId="4" borderId="5" xfId="0" applyNumberFormat="1" applyFill="1" applyBorder="1"/>
    <xf numFmtId="3" fontId="0" fillId="4" borderId="5" xfId="1" applyNumberFormat="1" applyFont="1" applyFill="1" applyBorder="1" applyAlignment="1" applyProtection="1"/>
    <xf numFmtId="3" fontId="8" fillId="4" borderId="5" xfId="0" applyNumberFormat="1" applyFont="1" applyFill="1" applyBorder="1" applyAlignment="1">
      <alignment horizontal="center"/>
    </xf>
    <xf numFmtId="3" fontId="8" fillId="4" borderId="5" xfId="1" applyNumberFormat="1" applyFont="1" applyFill="1" applyBorder="1" applyAlignment="1" applyProtection="1">
      <alignment horizontal="right"/>
    </xf>
    <xf numFmtId="3" fontId="8" fillId="4" borderId="5" xfId="1" applyNumberFormat="1" applyFont="1" applyFill="1" applyBorder="1" applyProtection="1"/>
    <xf numFmtId="3" fontId="8" fillId="4" borderId="5" xfId="0" applyNumberFormat="1" applyFont="1" applyFill="1" applyBorder="1" applyAlignment="1">
      <alignment horizontal="right"/>
    </xf>
    <xf numFmtId="3" fontId="8" fillId="4" borderId="5" xfId="0" applyNumberFormat="1" applyFont="1" applyFill="1" applyBorder="1"/>
    <xf numFmtId="3" fontId="19" fillId="4" borderId="5" xfId="0" applyNumberFormat="1" applyFont="1" applyFill="1" applyBorder="1" applyAlignment="1">
      <alignment horizontal="right"/>
    </xf>
    <xf numFmtId="3" fontId="19" fillId="4" borderId="5" xfId="0" applyNumberFormat="1" applyFont="1" applyFill="1" applyBorder="1"/>
    <xf numFmtId="3" fontId="8" fillId="4" borderId="0" xfId="0" applyNumberFormat="1" applyFont="1" applyFill="1"/>
    <xf numFmtId="3" fontId="19" fillId="4" borderId="5" xfId="1" applyNumberFormat="1" applyFont="1" applyFill="1" applyBorder="1" applyProtection="1"/>
    <xf numFmtId="10" fontId="10" fillId="3" borderId="5" xfId="2" applyNumberFormat="1" applyFont="1" applyFill="1" applyBorder="1" applyAlignment="1" applyProtection="1">
      <alignment horizontal="center" vertical="center" wrapText="1"/>
    </xf>
    <xf numFmtId="0" fontId="7" fillId="4" borderId="6" xfId="0" applyFont="1" applyFill="1" applyBorder="1" applyAlignment="1">
      <alignment horizontal="center"/>
    </xf>
    <xf numFmtId="0" fontId="7" fillId="4" borderId="8" xfId="0" applyFont="1" applyFill="1" applyBorder="1" applyAlignment="1">
      <alignment horizontal="center"/>
    </xf>
    <xf numFmtId="0" fontId="10" fillId="4" borderId="5" xfId="0" applyFont="1" applyFill="1" applyBorder="1" applyAlignment="1">
      <alignment horizontal="center" vertical="center" wrapText="1"/>
    </xf>
    <xf numFmtId="0" fontId="10" fillId="4" borderId="5" xfId="0" applyFont="1" applyFill="1" applyBorder="1" applyAlignment="1">
      <alignment horizontal="center" vertical="center"/>
    </xf>
    <xf numFmtId="166" fontId="7" fillId="4" borderId="5" xfId="0" applyNumberFormat="1" applyFont="1" applyFill="1" applyBorder="1" applyAlignment="1">
      <alignment horizontal="center" vertical="center"/>
    </xf>
    <xf numFmtId="166" fontId="7" fillId="4" borderId="0" xfId="0" applyNumberFormat="1" applyFont="1" applyFill="1" applyAlignment="1">
      <alignment horizontal="center"/>
    </xf>
    <xf numFmtId="0" fontId="10" fillId="4" borderId="5" xfId="0" applyFont="1" applyFill="1" applyBorder="1" applyAlignment="1" applyProtection="1">
      <alignment horizontal="center" vertical="center"/>
      <protection locked="0"/>
    </xf>
    <xf numFmtId="0" fontId="10" fillId="4" borderId="5" xfId="0" applyFont="1" applyFill="1" applyBorder="1" applyAlignment="1" applyProtection="1">
      <alignment horizontal="center" vertical="center" wrapText="1"/>
      <protection locked="0"/>
    </xf>
    <xf numFmtId="0" fontId="7" fillId="4" borderId="0" xfId="0" applyFont="1" applyFill="1" applyAlignment="1" applyProtection="1">
      <alignment horizontal="left" vertical="top" wrapText="1"/>
      <protection locked="0"/>
    </xf>
    <xf numFmtId="0" fontId="10" fillId="4" borderId="5" xfId="0" applyFont="1" applyFill="1" applyBorder="1" applyAlignment="1">
      <alignment horizontal="center"/>
    </xf>
    <xf numFmtId="0" fontId="10" fillId="4" borderId="0" xfId="0" applyFont="1" applyFill="1" applyAlignment="1" applyProtection="1">
      <alignment horizontal="left" vertical="top" wrapText="1"/>
      <protection locked="0"/>
    </xf>
    <xf numFmtId="0" fontId="7" fillId="4" borderId="0" xfId="0" applyFont="1" applyFill="1" applyAlignment="1">
      <alignment horizontal="left" vertical="top" wrapText="1"/>
    </xf>
    <xf numFmtId="0" fontId="10" fillId="4" borderId="14"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6"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4" borderId="14"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6" xfId="0" applyFont="1" applyFill="1" applyBorder="1" applyAlignment="1">
      <alignment horizontal="center" vertical="center"/>
    </xf>
    <xf numFmtId="0" fontId="10" fillId="4" borderId="8" xfId="0" applyFont="1" applyFill="1" applyBorder="1" applyAlignment="1">
      <alignment horizontal="center" vertical="center"/>
    </xf>
    <xf numFmtId="166" fontId="7" fillId="4" borderId="12" xfId="0" applyNumberFormat="1" applyFont="1" applyFill="1" applyBorder="1" applyAlignment="1">
      <alignment horizontal="center" vertical="center"/>
    </xf>
    <xf numFmtId="166" fontId="7" fillId="4" borderId="13" xfId="0" applyNumberFormat="1" applyFont="1" applyFill="1" applyBorder="1" applyAlignment="1">
      <alignment horizontal="center" vertical="center"/>
    </xf>
    <xf numFmtId="166" fontId="7" fillId="4" borderId="12" xfId="0" applyNumberFormat="1" applyFont="1" applyFill="1" applyBorder="1" applyAlignment="1">
      <alignment horizontal="center"/>
    </xf>
    <xf numFmtId="166" fontId="7" fillId="4" borderId="13" xfId="0" applyNumberFormat="1" applyFont="1" applyFill="1" applyBorder="1" applyAlignment="1">
      <alignment horizontal="center"/>
    </xf>
    <xf numFmtId="0" fontId="1" fillId="4" borderId="7" xfId="0" applyFont="1" applyFill="1" applyBorder="1" applyAlignment="1" applyProtection="1">
      <alignment horizontal="center"/>
      <protection locked="0"/>
    </xf>
    <xf numFmtId="168" fontId="1" fillId="4" borderId="6" xfId="2" applyNumberFormat="1" applyFont="1" applyFill="1" applyBorder="1" applyAlignment="1" applyProtection="1">
      <alignment horizontal="center" vertical="center" wrapText="1"/>
      <protection locked="0"/>
    </xf>
    <xf numFmtId="0" fontId="24" fillId="4" borderId="5" xfId="0" applyFont="1" applyFill="1" applyBorder="1" applyAlignment="1">
      <alignment horizontal="center" vertical="center"/>
    </xf>
    <xf numFmtId="0" fontId="24" fillId="4" borderId="18" xfId="0" applyFont="1" applyFill="1" applyBorder="1" applyAlignment="1">
      <alignment horizontal="center" vertical="center"/>
    </xf>
  </cellXfs>
  <cellStyles count="3">
    <cellStyle name="Comma" xfId="1" builtinId="3"/>
    <cellStyle name="Normal" xfId="0" builtinId="0"/>
    <cellStyle name="Percent" xfId="2" builtinId="5"/>
  </cellStyles>
  <dxfs count="2">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FF0000"/>
                </a:solidFill>
              </a:rPr>
              <a:t>Project profit development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'4.CashFlows'!$D$14:$M$14</c:f>
              <c:numCache>
                <c:formatCode>m/d/yyyy</c:formatCode>
                <c:ptCount val="10"/>
                <c:pt idx="0">
                  <c:v>44561</c:v>
                </c:pt>
                <c:pt idx="1">
                  <c:v>44926</c:v>
                </c:pt>
                <c:pt idx="2">
                  <c:v>45291</c:v>
                </c:pt>
                <c:pt idx="3">
                  <c:v>45657</c:v>
                </c:pt>
                <c:pt idx="4">
                  <c:v>46022</c:v>
                </c:pt>
                <c:pt idx="5">
                  <c:v>46387</c:v>
                </c:pt>
                <c:pt idx="6">
                  <c:v>46752</c:v>
                </c:pt>
                <c:pt idx="7">
                  <c:v>47118</c:v>
                </c:pt>
                <c:pt idx="8">
                  <c:v>47483</c:v>
                </c:pt>
                <c:pt idx="9">
                  <c:v>47848</c:v>
                </c:pt>
              </c:numCache>
            </c:numRef>
          </c:cat>
          <c:val>
            <c:numRef>
              <c:f>'4.CashFlows'!$D$24:$M$24</c:f>
              <c:numCache>
                <c:formatCode>#,##0</c:formatCode>
                <c:ptCount val="10"/>
                <c:pt idx="0">
                  <c:v>9500</c:v>
                </c:pt>
                <c:pt idx="1">
                  <c:v>9928.68</c:v>
                </c:pt>
                <c:pt idx="2">
                  <c:v>10375.454545200002</c:v>
                </c:pt>
                <c:pt idx="3">
                  <c:v>10841.065317008031</c:v>
                </c:pt>
                <c:pt idx="4">
                  <c:v>11326.283980303484</c:v>
                </c:pt>
                <c:pt idx="5">
                  <c:v>11831.913387433793</c:v>
                </c:pt>
                <c:pt idx="6">
                  <c:v>12358.788830397647</c:v>
                </c:pt>
                <c:pt idx="7">
                  <c:v>12907.779343140111</c:v>
                </c:pt>
                <c:pt idx="8">
                  <c:v>13479.789055961832</c:v>
                </c:pt>
                <c:pt idx="9">
                  <c:v>14075.75860412449</c:v>
                </c:pt>
              </c:numCache>
            </c:numRef>
          </c:val>
          <c:extLst>
            <c:ext xmlns:c16="http://schemas.microsoft.com/office/drawing/2014/chart" uri="{C3380CC4-5D6E-409C-BE32-E72D297353CC}">
              <c16:uniqueId val="{00000000-B8FA-4ED5-9B73-CCF41924B793}"/>
            </c:ext>
          </c:extLst>
        </c:ser>
        <c:dLbls>
          <c:dLblPos val="outEnd"/>
          <c:showLegendKey val="0"/>
          <c:showVal val="1"/>
          <c:showCatName val="0"/>
          <c:showSerName val="0"/>
          <c:showPercent val="0"/>
          <c:showBubbleSize val="0"/>
        </c:dLbls>
        <c:gapWidth val="219"/>
        <c:overlap val="-27"/>
        <c:axId val="1598569984"/>
        <c:axId val="1598552096"/>
      </c:barChart>
      <c:catAx>
        <c:axId val="1598569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8552096"/>
        <c:crosses val="autoZero"/>
        <c:auto val="0"/>
        <c:lblAlgn val="ctr"/>
        <c:lblOffset val="100"/>
        <c:noMultiLvlLbl val="0"/>
      </c:catAx>
      <c:valAx>
        <c:axId val="1598552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Profit (€)</a:t>
                </a:r>
              </a:p>
              <a:p>
                <a:pPr>
                  <a:defRPr/>
                </a:pP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8569984"/>
        <c:crossesAt val="44197"/>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6350</xdr:colOff>
          <xdr:row>4</xdr:row>
          <xdr:rowOff>19050</xdr:rowOff>
        </xdr:from>
        <xdr:to>
          <xdr:col>7</xdr:col>
          <xdr:colOff>603250</xdr:colOff>
          <xdr:row>5</xdr:row>
          <xdr:rowOff>12700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3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xdr:colOff>
          <xdr:row>5</xdr:row>
          <xdr:rowOff>171450</xdr:rowOff>
        </xdr:from>
        <xdr:to>
          <xdr:col>8</xdr:col>
          <xdr:colOff>0</xdr:colOff>
          <xdr:row>7</xdr:row>
          <xdr:rowOff>6350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300-000003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Linear Regression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xdr:colOff>
          <xdr:row>8</xdr:row>
          <xdr:rowOff>6350</xdr:rowOff>
        </xdr:from>
        <xdr:to>
          <xdr:col>7</xdr:col>
          <xdr:colOff>596900</xdr:colOff>
          <xdr:row>9</xdr:row>
          <xdr:rowOff>19050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300-000004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Cash Flows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xdr:colOff>
          <xdr:row>9</xdr:row>
          <xdr:rowOff>171450</xdr:rowOff>
        </xdr:from>
        <xdr:to>
          <xdr:col>8</xdr:col>
          <xdr:colOff>12700</xdr:colOff>
          <xdr:row>10</xdr:row>
          <xdr:rowOff>177800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300-000005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Simulation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673100</xdr:colOff>
          <xdr:row>6</xdr:row>
          <xdr:rowOff>19050</xdr:rowOff>
        </xdr:from>
        <xdr:to>
          <xdr:col>6</xdr:col>
          <xdr:colOff>965200</xdr:colOff>
          <xdr:row>7</xdr:row>
          <xdr:rowOff>76200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4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660400</xdr:colOff>
          <xdr:row>4</xdr:row>
          <xdr:rowOff>190500</xdr:rowOff>
        </xdr:from>
        <xdr:to>
          <xdr:col>6</xdr:col>
          <xdr:colOff>939800</xdr:colOff>
          <xdr:row>5</xdr:row>
          <xdr:rowOff>114300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4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Cash Flows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647700</xdr:colOff>
          <xdr:row>3</xdr:row>
          <xdr:rowOff>120650</xdr:rowOff>
        </xdr:from>
        <xdr:to>
          <xdr:col>6</xdr:col>
          <xdr:colOff>920750</xdr:colOff>
          <xdr:row>4</xdr:row>
          <xdr:rowOff>139700</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400-000008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Linear Regression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679450</xdr:colOff>
          <xdr:row>2</xdr:row>
          <xdr:rowOff>50800</xdr:rowOff>
        </xdr:from>
        <xdr:to>
          <xdr:col>6</xdr:col>
          <xdr:colOff>927100</xdr:colOff>
          <xdr:row>3</xdr:row>
          <xdr:rowOff>38100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400-000009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Input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&gt;&gt;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647700</xdr:colOff>
          <xdr:row>3</xdr:row>
          <xdr:rowOff>6350</xdr:rowOff>
        </xdr:from>
        <xdr:to>
          <xdr:col>6</xdr:col>
          <xdr:colOff>171450</xdr:colOff>
          <xdr:row>4</xdr:row>
          <xdr:rowOff>50800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641350</xdr:colOff>
          <xdr:row>4</xdr:row>
          <xdr:rowOff>127000</xdr:rowOff>
        </xdr:from>
        <xdr:to>
          <xdr:col>6</xdr:col>
          <xdr:colOff>177800</xdr:colOff>
          <xdr:row>5</xdr:row>
          <xdr:rowOff>133350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Cash Flows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647700</xdr:colOff>
          <xdr:row>5</xdr:row>
          <xdr:rowOff>234950</xdr:rowOff>
        </xdr:from>
        <xdr:to>
          <xdr:col>6</xdr:col>
          <xdr:colOff>196850</xdr:colOff>
          <xdr:row>7</xdr:row>
          <xdr:rowOff>25400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635000</xdr:colOff>
          <xdr:row>2</xdr:row>
          <xdr:rowOff>12700</xdr:rowOff>
        </xdr:from>
        <xdr:to>
          <xdr:col>6</xdr:col>
          <xdr:colOff>120650</xdr:colOff>
          <xdr:row>2</xdr:row>
          <xdr:rowOff>184150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500-000005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Input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146050</xdr:rowOff>
        </xdr:from>
        <xdr:to>
          <xdr:col>1</xdr:col>
          <xdr:colOff>615950</xdr:colOff>
          <xdr:row>2</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&gt;&gt;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31750</xdr:colOff>
          <xdr:row>5</xdr:row>
          <xdr:rowOff>165100</xdr:rowOff>
        </xdr:from>
        <xdr:to>
          <xdr:col>5</xdr:col>
          <xdr:colOff>298450</xdr:colOff>
          <xdr:row>8</xdr:row>
          <xdr:rowOff>44450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7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Max IRR</a:t>
              </a:r>
            </a:p>
          </xdr:txBody>
        </xdr:sp>
        <xdr:clientData fPrintsWithSheet="0"/>
      </xdr:twoCellAnchor>
    </mc:Choice>
    <mc:Fallback/>
  </mc:AlternateContent>
  <xdr:twoCellAnchor>
    <xdr:from>
      <xdr:col>5</xdr:col>
      <xdr:colOff>341514</xdr:colOff>
      <xdr:row>5</xdr:row>
      <xdr:rowOff>175027</xdr:rowOff>
    </xdr:from>
    <xdr:to>
      <xdr:col>7</xdr:col>
      <xdr:colOff>139700</xdr:colOff>
      <xdr:row>9</xdr:row>
      <xdr:rowOff>76201</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4481714" y="1095777"/>
          <a:ext cx="1525386" cy="637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this button to find</a:t>
          </a:r>
          <a:r>
            <a:rPr lang="en-US" sz="1100" baseline="0"/>
            <a:t> the unit price that maximinizes the IRR</a:t>
          </a:r>
          <a:endParaRPr lang="en-US" sz="1100"/>
        </a:p>
      </xdr:txBody>
    </xdr:sp>
    <xdr:clientData/>
  </xdr:twoCellAnchor>
  <mc:AlternateContent xmlns:mc="http://schemas.openxmlformats.org/markup-compatibility/2006">
    <mc:Choice xmlns:a14="http://schemas.microsoft.com/office/drawing/2010/main" Requires="a14">
      <xdr:twoCellAnchor>
        <xdr:from>
          <xdr:col>10</xdr:col>
          <xdr:colOff>6350</xdr:colOff>
          <xdr:row>2</xdr:row>
          <xdr:rowOff>57150</xdr:rowOff>
        </xdr:from>
        <xdr:to>
          <xdr:col>11</xdr:col>
          <xdr:colOff>419100</xdr:colOff>
          <xdr:row>3</xdr:row>
          <xdr:rowOff>44450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700-00001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755650</xdr:colOff>
          <xdr:row>4</xdr:row>
          <xdr:rowOff>6350</xdr:rowOff>
        </xdr:from>
        <xdr:to>
          <xdr:col>11</xdr:col>
          <xdr:colOff>412750</xdr:colOff>
          <xdr:row>5</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700-00001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6350</xdr:rowOff>
        </xdr:from>
        <xdr:to>
          <xdr:col>11</xdr:col>
          <xdr:colOff>450850</xdr:colOff>
          <xdr:row>8</xdr:row>
          <xdr:rowOff>12700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700-00001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768350</xdr:colOff>
          <xdr:row>5</xdr:row>
          <xdr:rowOff>76200</xdr:rowOff>
        </xdr:from>
        <xdr:to>
          <xdr:col>11</xdr:col>
          <xdr:colOff>450850</xdr:colOff>
          <xdr:row>6</xdr:row>
          <xdr:rowOff>95250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700-00001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Linear Regression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723900</xdr:colOff>
          <xdr:row>31</xdr:row>
          <xdr:rowOff>44450</xdr:rowOff>
        </xdr:from>
        <xdr:to>
          <xdr:col>1</xdr:col>
          <xdr:colOff>1397000</xdr:colOff>
          <xdr:row>31</xdr:row>
          <xdr:rowOff>215900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700-00002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Valuation</a:t>
              </a:r>
            </a:p>
          </xdr:txBody>
        </xdr:sp>
        <xdr:clientData fPrintsWithSheet="0"/>
      </xdr:twoCellAnchor>
    </mc:Choice>
    <mc:Fallback/>
  </mc:AlternateContent>
  <xdr:twoCellAnchor>
    <xdr:from>
      <xdr:col>5</xdr:col>
      <xdr:colOff>181429</xdr:colOff>
      <xdr:row>32</xdr:row>
      <xdr:rowOff>61684</xdr:rowOff>
    </xdr:from>
    <xdr:to>
      <xdr:col>18</xdr:col>
      <xdr:colOff>544286</xdr:colOff>
      <xdr:row>52</xdr:row>
      <xdr:rowOff>27213</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0</xdr:rowOff>
        </xdr:from>
        <xdr:to>
          <xdr:col>6</xdr:col>
          <xdr:colOff>1416050</xdr:colOff>
          <xdr:row>8</xdr:row>
          <xdr:rowOff>12700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3</xdr:row>
          <xdr:rowOff>57150</xdr:rowOff>
        </xdr:from>
        <xdr:to>
          <xdr:col>10</xdr:col>
          <xdr:colOff>361950</xdr:colOff>
          <xdr:row>4</xdr:row>
          <xdr:rowOff>50800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800-000006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406400</xdr:colOff>
          <xdr:row>5</xdr:row>
          <xdr:rowOff>6350</xdr:rowOff>
        </xdr:from>
        <xdr:to>
          <xdr:col>10</xdr:col>
          <xdr:colOff>355600</xdr:colOff>
          <xdr:row>6</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381000</xdr:colOff>
          <xdr:row>6</xdr:row>
          <xdr:rowOff>76200</xdr:rowOff>
        </xdr:from>
        <xdr:to>
          <xdr:col>10</xdr:col>
          <xdr:colOff>355600</xdr:colOff>
          <xdr:row>7</xdr:row>
          <xdr:rowOff>76200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8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Linear Regression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400050</xdr:colOff>
          <xdr:row>7</xdr:row>
          <xdr:rowOff>177800</xdr:rowOff>
        </xdr:from>
        <xdr:to>
          <xdr:col>10</xdr:col>
          <xdr:colOff>355600</xdr:colOff>
          <xdr:row>8</xdr:row>
          <xdr:rowOff>177800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8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Cash Flows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https://sdw.ecb.europa.eu/quickview.do?SERIES_KEY=320.MNA.Q.Y.I8.W2.S1.S1.B.B1GQ._Z._Z._Z.EUR.LR.GY&amp;periodSortOrder=ASC"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sdw.ecb.europa.eu/quickview.do?org.apache.struts.taglib.html.TOKEN=e59f033742e52364a66bf6ccd831ccec&amp;SERIES_KEY=132.STS.M.I8.N.UWIE.CTOTNE.3.000&amp;start=&amp;end=&amp;trans=QF&amp;submitOptions.x=0&amp;submitOptions.y=0&amp;periodSortOrder=ASC"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10" Type="http://schemas.openxmlformats.org/officeDocument/2006/relationships/comments" Target="../comments1.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C911F-3AFA-4475-83CE-597F00E1CAF2}">
  <sheetPr codeName="Tabelle1">
    <tabColor rgb="FFFFC000"/>
  </sheetPr>
  <dimension ref="B2:D22"/>
  <sheetViews>
    <sheetView workbookViewId="0">
      <selection activeCell="D26" sqref="D26"/>
    </sheetView>
  </sheetViews>
  <sheetFormatPr defaultColWidth="11.453125" defaultRowHeight="14.5" x14ac:dyDescent="0.35"/>
  <cols>
    <col min="2" max="2" width="26.81640625" bestFit="1" customWidth="1"/>
  </cols>
  <sheetData>
    <row r="2" spans="2:4" x14ac:dyDescent="0.35">
      <c r="B2" s="5" t="s">
        <v>389</v>
      </c>
      <c r="C2" s="5" t="s">
        <v>387</v>
      </c>
      <c r="D2" s="5" t="s">
        <v>407</v>
      </c>
    </row>
    <row r="3" spans="2:4" x14ac:dyDescent="0.35">
      <c r="B3" t="s">
        <v>390</v>
      </c>
      <c r="C3" t="s">
        <v>391</v>
      </c>
      <c r="D3" t="s">
        <v>442</v>
      </c>
    </row>
    <row r="4" spans="2:4" x14ac:dyDescent="0.35">
      <c r="B4" t="s">
        <v>384</v>
      </c>
      <c r="C4" t="s">
        <v>392</v>
      </c>
      <c r="D4" t="s">
        <v>442</v>
      </c>
    </row>
    <row r="5" spans="2:4" x14ac:dyDescent="0.35">
      <c r="B5" t="s">
        <v>448</v>
      </c>
      <c r="C5" t="s">
        <v>443</v>
      </c>
      <c r="D5" t="s">
        <v>441</v>
      </c>
    </row>
    <row r="6" spans="2:4" x14ac:dyDescent="0.35">
      <c r="B6" t="s">
        <v>449</v>
      </c>
      <c r="C6" t="s">
        <v>444</v>
      </c>
      <c r="D6" s="6" t="s">
        <v>446</v>
      </c>
    </row>
    <row r="7" spans="2:4" x14ac:dyDescent="0.35">
      <c r="B7" t="s">
        <v>450</v>
      </c>
      <c r="C7" t="s">
        <v>460</v>
      </c>
      <c r="D7" t="s">
        <v>440</v>
      </c>
    </row>
    <row r="8" spans="2:4" x14ac:dyDescent="0.35">
      <c r="B8" t="s">
        <v>451</v>
      </c>
      <c r="C8" t="s">
        <v>445</v>
      </c>
      <c r="D8" s="7" t="s">
        <v>447</v>
      </c>
    </row>
    <row r="9" spans="2:4" x14ac:dyDescent="0.35">
      <c r="B9" s="12" t="s">
        <v>452</v>
      </c>
      <c r="C9" s="12" t="s">
        <v>487</v>
      </c>
      <c r="D9" s="13" t="s">
        <v>483</v>
      </c>
    </row>
    <row r="10" spans="2:4" x14ac:dyDescent="0.35">
      <c r="B10" s="12" t="s">
        <v>484</v>
      </c>
      <c r="C10" s="12" t="s">
        <v>488</v>
      </c>
      <c r="D10" s="13" t="s">
        <v>490</v>
      </c>
    </row>
    <row r="11" spans="2:4" x14ac:dyDescent="0.35">
      <c r="B11" t="s">
        <v>420</v>
      </c>
      <c r="D11" t="s">
        <v>421</v>
      </c>
    </row>
    <row r="13" spans="2:4" x14ac:dyDescent="0.35">
      <c r="B13" s="5" t="s">
        <v>459</v>
      </c>
      <c r="C13" s="5" t="s">
        <v>387</v>
      </c>
      <c r="D13" s="5" t="s">
        <v>388</v>
      </c>
    </row>
    <row r="14" spans="2:4" x14ac:dyDescent="0.35">
      <c r="B14" t="s">
        <v>453</v>
      </c>
      <c r="C14" t="s">
        <v>386</v>
      </c>
      <c r="D14" s="6" t="s">
        <v>458</v>
      </c>
    </row>
    <row r="15" spans="2:4" x14ac:dyDescent="0.35">
      <c r="B15" t="s">
        <v>394</v>
      </c>
      <c r="C15" t="s">
        <v>395</v>
      </c>
      <c r="D15" t="s">
        <v>454</v>
      </c>
    </row>
    <row r="16" spans="2:4" x14ac:dyDescent="0.35">
      <c r="B16" t="s">
        <v>393</v>
      </c>
      <c r="C16" t="s">
        <v>385</v>
      </c>
      <c r="D16" t="s">
        <v>455</v>
      </c>
    </row>
    <row r="17" spans="2:4" x14ac:dyDescent="0.35">
      <c r="B17" t="s">
        <v>492</v>
      </c>
      <c r="C17" t="s">
        <v>404</v>
      </c>
      <c r="D17" s="6" t="s">
        <v>406</v>
      </c>
    </row>
    <row r="18" spans="2:4" x14ac:dyDescent="0.35">
      <c r="B18" t="s">
        <v>399</v>
      </c>
      <c r="C18" t="s">
        <v>400</v>
      </c>
      <c r="D18" t="s">
        <v>456</v>
      </c>
    </row>
    <row r="19" spans="2:4" x14ac:dyDescent="0.35">
      <c r="B19" t="s">
        <v>397</v>
      </c>
      <c r="C19" t="s">
        <v>398</v>
      </c>
      <c r="D19" t="s">
        <v>457</v>
      </c>
    </row>
    <row r="20" spans="2:4" x14ac:dyDescent="0.35">
      <c r="B20" t="s">
        <v>402</v>
      </c>
      <c r="C20" t="s">
        <v>396</v>
      </c>
      <c r="D20" s="6" t="s">
        <v>403</v>
      </c>
    </row>
    <row r="21" spans="2:4" x14ac:dyDescent="0.35">
      <c r="B21" t="s">
        <v>489</v>
      </c>
      <c r="C21" t="s">
        <v>401</v>
      </c>
      <c r="D21" s="6" t="s">
        <v>405</v>
      </c>
    </row>
    <row r="22" spans="2:4" x14ac:dyDescent="0.35">
      <c r="B22" t="s">
        <v>485</v>
      </c>
      <c r="C22" t="s">
        <v>486</v>
      </c>
      <c r="D22" s="6" t="s">
        <v>491</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CD691-A8DC-4084-8043-6B132C3D0465}">
  <sheetPr codeName="Tabelle3">
    <tabColor rgb="FFFFC000"/>
  </sheetPr>
  <dimension ref="A1:D107"/>
  <sheetViews>
    <sheetView workbookViewId="0">
      <selection activeCell="C12" sqref="C12"/>
    </sheetView>
  </sheetViews>
  <sheetFormatPr defaultColWidth="11.453125" defaultRowHeight="14.5" x14ac:dyDescent="0.35"/>
  <cols>
    <col min="3" max="3" width="12" bestFit="1" customWidth="1"/>
    <col min="4" max="4" width="19.54296875" bestFit="1" customWidth="1"/>
  </cols>
  <sheetData>
    <row r="1" spans="1:4" x14ac:dyDescent="0.35">
      <c r="A1" s="8" t="s">
        <v>461</v>
      </c>
      <c r="B1" s="8"/>
    </row>
    <row r="3" spans="1:4" ht="15" thickBot="1" x14ac:dyDescent="0.4">
      <c r="A3" t="s">
        <v>383</v>
      </c>
    </row>
    <row r="4" spans="1:4" ht="15" thickBot="1" x14ac:dyDescent="0.4">
      <c r="A4" s="9" t="s">
        <v>379</v>
      </c>
      <c r="B4" s="14" t="s">
        <v>493</v>
      </c>
      <c r="C4" s="10" t="s">
        <v>380</v>
      </c>
      <c r="D4" s="11" t="s">
        <v>382</v>
      </c>
    </row>
    <row r="5" spans="1:4" x14ac:dyDescent="0.35">
      <c r="A5" s="1" t="s">
        <v>462</v>
      </c>
      <c r="B5" s="1">
        <f>LEFT(A5,4)+0</f>
        <v>2021</v>
      </c>
      <c r="C5" s="4">
        <v>3.7</v>
      </c>
      <c r="D5" s="3" t="s">
        <v>1</v>
      </c>
    </row>
    <row r="6" spans="1:4" x14ac:dyDescent="0.35">
      <c r="A6" s="1" t="s">
        <v>463</v>
      </c>
      <c r="B6" s="1">
        <f t="shared" ref="B6:B69" si="0">LEFT(A6,4)+0</f>
        <v>2021</v>
      </c>
      <c r="C6" s="4">
        <v>14.2</v>
      </c>
      <c r="D6" s="3" t="s">
        <v>1</v>
      </c>
    </row>
    <row r="7" spans="1:4" x14ac:dyDescent="0.35">
      <c r="A7" s="1" t="s">
        <v>464</v>
      </c>
      <c r="B7" s="1">
        <f t="shared" si="0"/>
        <v>2021</v>
      </c>
      <c r="C7" s="4">
        <v>-1.2</v>
      </c>
      <c r="D7" s="3" t="s">
        <v>1</v>
      </c>
    </row>
    <row r="8" spans="1:4" x14ac:dyDescent="0.35">
      <c r="A8" s="1" t="s">
        <v>465</v>
      </c>
      <c r="B8" s="1">
        <f t="shared" si="0"/>
        <v>2020</v>
      </c>
      <c r="C8" s="4">
        <v>-4.4000000000000004</v>
      </c>
      <c r="D8" s="3" t="s">
        <v>1</v>
      </c>
    </row>
    <row r="9" spans="1:4" x14ac:dyDescent="0.35">
      <c r="A9" s="1" t="s">
        <v>422</v>
      </c>
      <c r="B9" s="1">
        <f t="shared" si="0"/>
        <v>2020</v>
      </c>
      <c r="C9" s="4">
        <v>-4</v>
      </c>
      <c r="D9" s="3" t="s">
        <v>1</v>
      </c>
    </row>
    <row r="10" spans="1:4" x14ac:dyDescent="0.35">
      <c r="A10" s="1" t="s">
        <v>423</v>
      </c>
      <c r="B10" s="1">
        <f t="shared" si="0"/>
        <v>2020</v>
      </c>
      <c r="C10" s="4">
        <v>-14.5</v>
      </c>
      <c r="D10" s="3" t="s">
        <v>1</v>
      </c>
    </row>
    <row r="11" spans="1:4" x14ac:dyDescent="0.35">
      <c r="A11" s="1" t="s">
        <v>424</v>
      </c>
      <c r="B11" s="1">
        <f t="shared" si="0"/>
        <v>2020</v>
      </c>
      <c r="C11" s="4">
        <v>-3</v>
      </c>
      <c r="D11" s="3" t="s">
        <v>1</v>
      </c>
    </row>
    <row r="12" spans="1:4" x14ac:dyDescent="0.35">
      <c r="A12" s="1" t="s">
        <v>425</v>
      </c>
      <c r="B12" s="1">
        <f t="shared" si="0"/>
        <v>2019</v>
      </c>
      <c r="C12" s="4">
        <v>1.2</v>
      </c>
      <c r="D12" s="3" t="s">
        <v>1</v>
      </c>
    </row>
    <row r="13" spans="1:4" x14ac:dyDescent="0.35">
      <c r="A13" s="1" t="s">
        <v>426</v>
      </c>
      <c r="B13" s="1">
        <f t="shared" si="0"/>
        <v>2019</v>
      </c>
      <c r="C13" s="4">
        <v>1.8</v>
      </c>
      <c r="D13" s="3" t="s">
        <v>1</v>
      </c>
    </row>
    <row r="14" spans="1:4" x14ac:dyDescent="0.35">
      <c r="A14" s="1" t="s">
        <v>0</v>
      </c>
      <c r="B14" s="1">
        <f t="shared" si="0"/>
        <v>2019</v>
      </c>
      <c r="C14" s="4">
        <v>1.5</v>
      </c>
      <c r="D14" s="3" t="s">
        <v>1</v>
      </c>
    </row>
    <row r="15" spans="1:4" x14ac:dyDescent="0.35">
      <c r="A15" s="1" t="s">
        <v>2</v>
      </c>
      <c r="B15" s="1">
        <f t="shared" si="0"/>
        <v>2019</v>
      </c>
      <c r="C15" s="4">
        <v>1.9</v>
      </c>
      <c r="D15" s="3" t="s">
        <v>1</v>
      </c>
    </row>
    <row r="16" spans="1:4" x14ac:dyDescent="0.35">
      <c r="A16" s="1" t="s">
        <v>3</v>
      </c>
      <c r="B16" s="1">
        <f t="shared" si="0"/>
        <v>2018</v>
      </c>
      <c r="C16" s="4">
        <v>1.2</v>
      </c>
      <c r="D16" s="3" t="s">
        <v>1</v>
      </c>
    </row>
    <row r="17" spans="1:4" x14ac:dyDescent="0.35">
      <c r="A17" s="1" t="s">
        <v>4</v>
      </c>
      <c r="B17" s="1">
        <f t="shared" si="0"/>
        <v>2018</v>
      </c>
      <c r="C17" s="4">
        <v>1.5</v>
      </c>
      <c r="D17" s="3" t="s">
        <v>1</v>
      </c>
    </row>
    <row r="18" spans="1:4" x14ac:dyDescent="0.35">
      <c r="A18" s="1" t="s">
        <v>5</v>
      </c>
      <c r="B18" s="1">
        <f t="shared" si="0"/>
        <v>2018</v>
      </c>
      <c r="C18" s="4">
        <v>2.1</v>
      </c>
      <c r="D18" s="3" t="s">
        <v>1</v>
      </c>
    </row>
    <row r="19" spans="1:4" x14ac:dyDescent="0.35">
      <c r="A19" s="1" t="s">
        <v>6</v>
      </c>
      <c r="B19" s="1">
        <f t="shared" si="0"/>
        <v>2018</v>
      </c>
      <c r="C19" s="4">
        <v>2.4</v>
      </c>
      <c r="D19" s="3" t="s">
        <v>1</v>
      </c>
    </row>
    <row r="20" spans="1:4" x14ac:dyDescent="0.35">
      <c r="A20" s="1" t="s">
        <v>7</v>
      </c>
      <c r="B20" s="1">
        <f t="shared" si="0"/>
        <v>2017</v>
      </c>
      <c r="C20" s="4">
        <v>3.1</v>
      </c>
      <c r="D20" s="3" t="s">
        <v>1</v>
      </c>
    </row>
    <row r="21" spans="1:4" x14ac:dyDescent="0.35">
      <c r="A21" s="1" t="s">
        <v>8</v>
      </c>
      <c r="B21" s="1">
        <f t="shared" si="0"/>
        <v>2017</v>
      </c>
      <c r="C21" s="4">
        <v>3</v>
      </c>
      <c r="D21" s="3" t="s">
        <v>1</v>
      </c>
    </row>
    <row r="22" spans="1:4" x14ac:dyDescent="0.35">
      <c r="A22" s="1" t="s">
        <v>9</v>
      </c>
      <c r="B22" s="1">
        <f t="shared" si="0"/>
        <v>2017</v>
      </c>
      <c r="C22" s="4">
        <v>2.7</v>
      </c>
      <c r="D22" s="3" t="s">
        <v>1</v>
      </c>
    </row>
    <row r="23" spans="1:4" x14ac:dyDescent="0.35">
      <c r="A23" s="1" t="s">
        <v>10</v>
      </c>
      <c r="B23" s="1">
        <f t="shared" si="0"/>
        <v>2017</v>
      </c>
      <c r="C23" s="4">
        <v>2.2000000000000002</v>
      </c>
      <c r="D23" s="3" t="s">
        <v>1</v>
      </c>
    </row>
    <row r="24" spans="1:4" x14ac:dyDescent="0.35">
      <c r="A24" s="1" t="s">
        <v>11</v>
      </c>
      <c r="B24" s="1">
        <f t="shared" si="0"/>
        <v>2016</v>
      </c>
      <c r="C24" s="4">
        <v>2</v>
      </c>
      <c r="D24" s="3" t="s">
        <v>1</v>
      </c>
    </row>
    <row r="25" spans="1:4" x14ac:dyDescent="0.35">
      <c r="A25" s="1" t="s">
        <v>12</v>
      </c>
      <c r="B25" s="1">
        <f t="shared" si="0"/>
        <v>2016</v>
      </c>
      <c r="C25" s="4">
        <v>1.7</v>
      </c>
      <c r="D25" s="3" t="s">
        <v>1</v>
      </c>
    </row>
    <row r="26" spans="1:4" x14ac:dyDescent="0.35">
      <c r="A26" s="1" t="s">
        <v>13</v>
      </c>
      <c r="B26" s="1">
        <f t="shared" si="0"/>
        <v>2016</v>
      </c>
      <c r="C26" s="4">
        <v>1.7</v>
      </c>
      <c r="D26" s="3" t="s">
        <v>1</v>
      </c>
    </row>
    <row r="27" spans="1:4" x14ac:dyDescent="0.35">
      <c r="A27" s="1" t="s">
        <v>14</v>
      </c>
      <c r="B27" s="1">
        <f t="shared" si="0"/>
        <v>2016</v>
      </c>
      <c r="C27" s="4">
        <v>1.9</v>
      </c>
      <c r="D27" s="3" t="s">
        <v>1</v>
      </c>
    </row>
    <row r="28" spans="1:4" x14ac:dyDescent="0.35">
      <c r="A28" s="1" t="s">
        <v>15</v>
      </c>
      <c r="B28" s="1">
        <f t="shared" si="0"/>
        <v>2015</v>
      </c>
      <c r="C28" s="4">
        <v>2</v>
      </c>
      <c r="D28" s="3" t="s">
        <v>1</v>
      </c>
    </row>
    <row r="29" spans="1:4" x14ac:dyDescent="0.35">
      <c r="A29" s="1" t="s">
        <v>16</v>
      </c>
      <c r="B29" s="1">
        <f t="shared" si="0"/>
        <v>2015</v>
      </c>
      <c r="C29" s="4">
        <v>2</v>
      </c>
      <c r="D29" s="3" t="s">
        <v>1</v>
      </c>
    </row>
    <row r="30" spans="1:4" x14ac:dyDescent="0.35">
      <c r="A30" s="1" t="s">
        <v>17</v>
      </c>
      <c r="B30" s="1">
        <f t="shared" si="0"/>
        <v>2015</v>
      </c>
      <c r="C30" s="4">
        <v>2</v>
      </c>
      <c r="D30" s="3" t="s">
        <v>1</v>
      </c>
    </row>
    <row r="31" spans="1:4" x14ac:dyDescent="0.35">
      <c r="A31" s="1" t="s">
        <v>18</v>
      </c>
      <c r="B31" s="1">
        <f t="shared" si="0"/>
        <v>2015</v>
      </c>
      <c r="C31" s="4">
        <v>1.7</v>
      </c>
      <c r="D31" s="3" t="s">
        <v>1</v>
      </c>
    </row>
    <row r="32" spans="1:4" x14ac:dyDescent="0.35">
      <c r="A32" s="1" t="s">
        <v>19</v>
      </c>
      <c r="B32" s="1">
        <f t="shared" si="0"/>
        <v>2014</v>
      </c>
      <c r="C32" s="4">
        <v>1.5</v>
      </c>
      <c r="D32" s="3" t="s">
        <v>1</v>
      </c>
    </row>
    <row r="33" spans="1:4" x14ac:dyDescent="0.35">
      <c r="A33" s="1" t="s">
        <v>20</v>
      </c>
      <c r="B33" s="1">
        <f t="shared" si="0"/>
        <v>2014</v>
      </c>
      <c r="C33" s="4">
        <v>1.4</v>
      </c>
      <c r="D33" s="3" t="s">
        <v>1</v>
      </c>
    </row>
    <row r="34" spans="1:4" x14ac:dyDescent="0.35">
      <c r="A34" s="1" t="s">
        <v>21</v>
      </c>
      <c r="B34" s="1">
        <f t="shared" si="0"/>
        <v>2014</v>
      </c>
      <c r="C34" s="4">
        <v>1.2</v>
      </c>
      <c r="D34" s="3" t="s">
        <v>1</v>
      </c>
    </row>
    <row r="35" spans="1:4" x14ac:dyDescent="0.35">
      <c r="A35" s="1" t="s">
        <v>22</v>
      </c>
      <c r="B35" s="1">
        <f t="shared" si="0"/>
        <v>2014</v>
      </c>
      <c r="C35" s="4">
        <v>1.5</v>
      </c>
      <c r="D35" s="3" t="s">
        <v>1</v>
      </c>
    </row>
    <row r="36" spans="1:4" x14ac:dyDescent="0.35">
      <c r="A36" s="1" t="s">
        <v>23</v>
      </c>
      <c r="B36" s="1">
        <f t="shared" si="0"/>
        <v>2013</v>
      </c>
      <c r="C36" s="4">
        <v>0.7</v>
      </c>
      <c r="D36" s="3" t="s">
        <v>1</v>
      </c>
    </row>
    <row r="37" spans="1:4" x14ac:dyDescent="0.35">
      <c r="A37" s="1" t="s">
        <v>24</v>
      </c>
      <c r="B37" s="1">
        <f t="shared" si="0"/>
        <v>2013</v>
      </c>
      <c r="C37" s="4">
        <v>0.1</v>
      </c>
      <c r="D37" s="3" t="s">
        <v>1</v>
      </c>
    </row>
    <row r="38" spans="1:4" x14ac:dyDescent="0.35">
      <c r="A38" s="1" t="s">
        <v>25</v>
      </c>
      <c r="B38" s="1">
        <f t="shared" si="0"/>
        <v>2013</v>
      </c>
      <c r="C38" s="4">
        <v>-0.4</v>
      </c>
      <c r="D38" s="3" t="s">
        <v>1</v>
      </c>
    </row>
    <row r="39" spans="1:4" x14ac:dyDescent="0.35">
      <c r="A39" s="1" t="s">
        <v>26</v>
      </c>
      <c r="B39" s="1">
        <f t="shared" si="0"/>
        <v>2013</v>
      </c>
      <c r="C39" s="4">
        <v>-1.2</v>
      </c>
      <c r="D39" s="3" t="s">
        <v>1</v>
      </c>
    </row>
    <row r="40" spans="1:4" x14ac:dyDescent="0.35">
      <c r="A40" s="1" t="s">
        <v>27</v>
      </c>
      <c r="B40" s="1">
        <f t="shared" si="0"/>
        <v>2012</v>
      </c>
      <c r="C40" s="4">
        <v>-1</v>
      </c>
      <c r="D40" s="3" t="s">
        <v>1</v>
      </c>
    </row>
    <row r="41" spans="1:4" x14ac:dyDescent="0.35">
      <c r="A41" s="1" t="s">
        <v>28</v>
      </c>
      <c r="B41" s="1">
        <f t="shared" si="0"/>
        <v>2012</v>
      </c>
      <c r="C41" s="4">
        <v>-1</v>
      </c>
      <c r="D41" s="3" t="s">
        <v>1</v>
      </c>
    </row>
    <row r="42" spans="1:4" x14ac:dyDescent="0.35">
      <c r="A42" s="1" t="s">
        <v>29</v>
      </c>
      <c r="B42" s="1">
        <f t="shared" si="0"/>
        <v>2012</v>
      </c>
      <c r="C42" s="4">
        <v>-0.8</v>
      </c>
      <c r="D42" s="3" t="s">
        <v>1</v>
      </c>
    </row>
    <row r="43" spans="1:4" x14ac:dyDescent="0.35">
      <c r="A43" s="1" t="s">
        <v>30</v>
      </c>
      <c r="B43" s="1">
        <f t="shared" si="0"/>
        <v>2012</v>
      </c>
      <c r="C43" s="4">
        <v>-0.5</v>
      </c>
      <c r="D43" s="3" t="s">
        <v>1</v>
      </c>
    </row>
    <row r="44" spans="1:4" x14ac:dyDescent="0.35">
      <c r="A44" s="1" t="s">
        <v>31</v>
      </c>
      <c r="B44" s="1">
        <f t="shared" si="0"/>
        <v>2011</v>
      </c>
      <c r="C44" s="4">
        <v>0.6</v>
      </c>
      <c r="D44" s="3" t="s">
        <v>1</v>
      </c>
    </row>
    <row r="45" spans="1:4" x14ac:dyDescent="0.35">
      <c r="A45" s="1" t="s">
        <v>32</v>
      </c>
      <c r="B45" s="1">
        <f t="shared" si="0"/>
        <v>2011</v>
      </c>
      <c r="C45" s="4">
        <v>1.6</v>
      </c>
      <c r="D45" s="3" t="s">
        <v>1</v>
      </c>
    </row>
    <row r="46" spans="1:4" x14ac:dyDescent="0.35">
      <c r="A46" s="1" t="s">
        <v>33</v>
      </c>
      <c r="B46" s="1">
        <f t="shared" si="0"/>
        <v>2011</v>
      </c>
      <c r="C46" s="4">
        <v>1.9</v>
      </c>
      <c r="D46" s="3" t="s">
        <v>1</v>
      </c>
    </row>
    <row r="47" spans="1:4" x14ac:dyDescent="0.35">
      <c r="A47" s="1" t="s">
        <v>34</v>
      </c>
      <c r="B47" s="1">
        <f t="shared" si="0"/>
        <v>2011</v>
      </c>
      <c r="C47" s="4">
        <v>2.9</v>
      </c>
      <c r="D47" s="3" t="s">
        <v>1</v>
      </c>
    </row>
    <row r="48" spans="1:4" x14ac:dyDescent="0.35">
      <c r="A48" s="1" t="s">
        <v>35</v>
      </c>
      <c r="B48" s="1">
        <f t="shared" si="0"/>
        <v>2010</v>
      </c>
      <c r="C48" s="4">
        <v>2.5</v>
      </c>
      <c r="D48" s="3" t="s">
        <v>1</v>
      </c>
    </row>
    <row r="49" spans="1:4" x14ac:dyDescent="0.35">
      <c r="A49" s="1" t="s">
        <v>36</v>
      </c>
      <c r="B49" s="1">
        <f t="shared" si="0"/>
        <v>2010</v>
      </c>
      <c r="C49" s="4">
        <v>2.2999999999999998</v>
      </c>
      <c r="D49" s="3" t="s">
        <v>1</v>
      </c>
    </row>
    <row r="50" spans="1:4" x14ac:dyDescent="0.35">
      <c r="A50" s="1" t="s">
        <v>37</v>
      </c>
      <c r="B50" s="1">
        <f t="shared" si="0"/>
        <v>2010</v>
      </c>
      <c r="C50" s="4">
        <v>2.2000000000000002</v>
      </c>
      <c r="D50" s="3" t="s">
        <v>1</v>
      </c>
    </row>
    <row r="51" spans="1:4" x14ac:dyDescent="0.35">
      <c r="A51" s="1" t="s">
        <v>38</v>
      </c>
      <c r="B51" s="1">
        <f t="shared" si="0"/>
        <v>2010</v>
      </c>
      <c r="C51" s="4">
        <v>1.2</v>
      </c>
      <c r="D51" s="3" t="s">
        <v>1</v>
      </c>
    </row>
    <row r="52" spans="1:4" x14ac:dyDescent="0.35">
      <c r="A52" s="1" t="s">
        <v>39</v>
      </c>
      <c r="B52" s="1">
        <f t="shared" si="0"/>
        <v>2009</v>
      </c>
      <c r="C52" s="4">
        <v>-2.2999999999999998</v>
      </c>
      <c r="D52" s="3" t="s">
        <v>1</v>
      </c>
    </row>
    <row r="53" spans="1:4" x14ac:dyDescent="0.35">
      <c r="A53" s="1" t="s">
        <v>40</v>
      </c>
      <c r="B53" s="1">
        <f t="shared" si="0"/>
        <v>2009</v>
      </c>
      <c r="C53" s="4">
        <v>-4.5</v>
      </c>
      <c r="D53" s="3" t="s">
        <v>1</v>
      </c>
    </row>
    <row r="54" spans="1:4" x14ac:dyDescent="0.35">
      <c r="A54" s="1" t="s">
        <v>41</v>
      </c>
      <c r="B54" s="1">
        <f t="shared" si="0"/>
        <v>2009</v>
      </c>
      <c r="C54" s="4">
        <v>-5.4</v>
      </c>
      <c r="D54" s="3" t="s">
        <v>1</v>
      </c>
    </row>
    <row r="55" spans="1:4" x14ac:dyDescent="0.35">
      <c r="A55" s="1" t="s">
        <v>42</v>
      </c>
      <c r="B55" s="1">
        <f t="shared" si="0"/>
        <v>2009</v>
      </c>
      <c r="C55" s="4">
        <v>-5.7</v>
      </c>
      <c r="D55" s="3" t="s">
        <v>1</v>
      </c>
    </row>
    <row r="56" spans="1:4" x14ac:dyDescent="0.35">
      <c r="A56" s="1" t="s">
        <v>43</v>
      </c>
      <c r="B56" s="1">
        <f t="shared" si="0"/>
        <v>2008</v>
      </c>
      <c r="C56" s="4">
        <v>-2.2000000000000002</v>
      </c>
      <c r="D56" s="3" t="s">
        <v>1</v>
      </c>
    </row>
    <row r="57" spans="1:4" x14ac:dyDescent="0.35">
      <c r="A57" s="1" t="s">
        <v>44</v>
      </c>
      <c r="B57" s="1">
        <f t="shared" si="0"/>
        <v>2008</v>
      </c>
      <c r="C57" s="4">
        <v>0.1</v>
      </c>
      <c r="D57" s="3" t="s">
        <v>1</v>
      </c>
    </row>
    <row r="58" spans="1:4" x14ac:dyDescent="0.35">
      <c r="A58" s="1" t="s">
        <v>45</v>
      </c>
      <c r="B58" s="1">
        <f t="shared" si="0"/>
        <v>2008</v>
      </c>
      <c r="C58" s="4">
        <v>1.1000000000000001</v>
      </c>
      <c r="D58" s="3" t="s">
        <v>1</v>
      </c>
    </row>
    <row r="59" spans="1:4" x14ac:dyDescent="0.35">
      <c r="A59" s="1" t="s">
        <v>46</v>
      </c>
      <c r="B59" s="1">
        <f t="shared" si="0"/>
        <v>2008</v>
      </c>
      <c r="C59" s="4">
        <v>2.2000000000000002</v>
      </c>
      <c r="D59" s="3" t="s">
        <v>1</v>
      </c>
    </row>
    <row r="60" spans="1:4" x14ac:dyDescent="0.35">
      <c r="A60" s="1" t="s">
        <v>47</v>
      </c>
      <c r="B60" s="1">
        <f t="shared" si="0"/>
        <v>2007</v>
      </c>
      <c r="C60" s="4">
        <v>2.2999999999999998</v>
      </c>
      <c r="D60" s="3" t="s">
        <v>1</v>
      </c>
    </row>
    <row r="61" spans="1:4" x14ac:dyDescent="0.35">
      <c r="A61" s="1" t="s">
        <v>48</v>
      </c>
      <c r="B61" s="1">
        <f t="shared" si="0"/>
        <v>2007</v>
      </c>
      <c r="C61" s="4">
        <v>3</v>
      </c>
      <c r="D61" s="3" t="s">
        <v>1</v>
      </c>
    </row>
    <row r="62" spans="1:4" x14ac:dyDescent="0.35">
      <c r="A62" s="1" t="s">
        <v>49</v>
      </c>
      <c r="B62" s="1">
        <f t="shared" si="0"/>
        <v>2007</v>
      </c>
      <c r="C62" s="4">
        <v>3.1</v>
      </c>
      <c r="D62" s="3" t="s">
        <v>1</v>
      </c>
    </row>
    <row r="63" spans="1:4" x14ac:dyDescent="0.35">
      <c r="A63" s="1" t="s">
        <v>50</v>
      </c>
      <c r="B63" s="1">
        <f t="shared" si="0"/>
        <v>2007</v>
      </c>
      <c r="C63" s="4">
        <v>3.5</v>
      </c>
      <c r="D63" s="3" t="s">
        <v>1</v>
      </c>
    </row>
    <row r="64" spans="1:4" x14ac:dyDescent="0.35">
      <c r="A64" s="1" t="s">
        <v>51</v>
      </c>
      <c r="B64" s="1">
        <f t="shared" si="0"/>
        <v>2006</v>
      </c>
      <c r="C64" s="4">
        <v>3.8</v>
      </c>
      <c r="D64" s="3" t="s">
        <v>1</v>
      </c>
    </row>
    <row r="65" spans="1:4" x14ac:dyDescent="0.35">
      <c r="A65" s="1" t="s">
        <v>52</v>
      </c>
      <c r="B65" s="1">
        <f t="shared" si="0"/>
        <v>2006</v>
      </c>
      <c r="C65" s="4">
        <v>3.2</v>
      </c>
      <c r="D65" s="3" t="s">
        <v>1</v>
      </c>
    </row>
    <row r="66" spans="1:4" x14ac:dyDescent="0.35">
      <c r="A66" s="1" t="s">
        <v>53</v>
      </c>
      <c r="B66" s="1">
        <f t="shared" si="0"/>
        <v>2006</v>
      </c>
      <c r="C66" s="4">
        <v>3.4</v>
      </c>
      <c r="D66" s="3" t="s">
        <v>1</v>
      </c>
    </row>
    <row r="67" spans="1:4" x14ac:dyDescent="0.35">
      <c r="A67" s="1" t="s">
        <v>54</v>
      </c>
      <c r="B67" s="1">
        <f t="shared" si="0"/>
        <v>2006</v>
      </c>
      <c r="C67" s="4">
        <v>2.9</v>
      </c>
      <c r="D67" s="3" t="s">
        <v>1</v>
      </c>
    </row>
    <row r="68" spans="1:4" x14ac:dyDescent="0.35">
      <c r="A68" s="1" t="s">
        <v>55</v>
      </c>
      <c r="B68" s="1">
        <f t="shared" si="0"/>
        <v>2005</v>
      </c>
      <c r="C68" s="4">
        <v>2.2000000000000002</v>
      </c>
      <c r="D68" s="3" t="s">
        <v>1</v>
      </c>
    </row>
    <row r="69" spans="1:4" x14ac:dyDescent="0.35">
      <c r="A69" s="1" t="s">
        <v>56</v>
      </c>
      <c r="B69" s="1">
        <f t="shared" si="0"/>
        <v>2005</v>
      </c>
      <c r="C69" s="4">
        <v>1.9</v>
      </c>
      <c r="D69" s="3" t="s">
        <v>1</v>
      </c>
    </row>
    <row r="70" spans="1:4" x14ac:dyDescent="0.35">
      <c r="A70" s="1" t="s">
        <v>57</v>
      </c>
      <c r="B70" s="1">
        <f t="shared" ref="B70:B107" si="1">LEFT(A70,4)+0</f>
        <v>2005</v>
      </c>
      <c r="C70" s="4">
        <v>1.4</v>
      </c>
      <c r="D70" s="3" t="s">
        <v>1</v>
      </c>
    </row>
    <row r="71" spans="1:4" x14ac:dyDescent="0.35">
      <c r="A71" s="1" t="s">
        <v>58</v>
      </c>
      <c r="B71" s="1">
        <f t="shared" si="1"/>
        <v>2005</v>
      </c>
      <c r="C71" s="4">
        <v>1.5</v>
      </c>
      <c r="D71" s="3" t="s">
        <v>1</v>
      </c>
    </row>
    <row r="72" spans="1:4" x14ac:dyDescent="0.35">
      <c r="A72" s="1" t="s">
        <v>59</v>
      </c>
      <c r="B72" s="1">
        <f t="shared" si="1"/>
        <v>2004</v>
      </c>
      <c r="C72" s="4">
        <v>1.7</v>
      </c>
      <c r="D72" s="3" t="s">
        <v>1</v>
      </c>
    </row>
    <row r="73" spans="1:4" x14ac:dyDescent="0.35">
      <c r="A73" s="1" t="s">
        <v>60</v>
      </c>
      <c r="B73" s="1">
        <f t="shared" si="1"/>
        <v>2004</v>
      </c>
      <c r="C73" s="4">
        <v>2.1</v>
      </c>
      <c r="D73" s="3" t="s">
        <v>1</v>
      </c>
    </row>
    <row r="74" spans="1:4" x14ac:dyDescent="0.35">
      <c r="A74" s="1" t="s">
        <v>61</v>
      </c>
      <c r="B74" s="1">
        <f t="shared" si="1"/>
        <v>2004</v>
      </c>
      <c r="C74" s="4">
        <v>2.4</v>
      </c>
      <c r="D74" s="3" t="s">
        <v>1</v>
      </c>
    </row>
    <row r="75" spans="1:4" x14ac:dyDescent="0.35">
      <c r="A75" s="1" t="s">
        <v>62</v>
      </c>
      <c r="B75" s="1">
        <f t="shared" si="1"/>
        <v>2004</v>
      </c>
      <c r="C75" s="4">
        <v>1.9</v>
      </c>
      <c r="D75" s="3" t="s">
        <v>1</v>
      </c>
    </row>
    <row r="76" spans="1:4" x14ac:dyDescent="0.35">
      <c r="A76" s="1" t="s">
        <v>63</v>
      </c>
      <c r="B76" s="1">
        <f t="shared" si="1"/>
        <v>2003</v>
      </c>
      <c r="C76" s="4">
        <v>1.1000000000000001</v>
      </c>
      <c r="D76" s="3" t="s">
        <v>1</v>
      </c>
    </row>
    <row r="77" spans="1:4" x14ac:dyDescent="0.35">
      <c r="A77" s="1" t="s">
        <v>64</v>
      </c>
      <c r="B77" s="1">
        <f t="shared" si="1"/>
        <v>2003</v>
      </c>
      <c r="C77" s="4">
        <v>0.5</v>
      </c>
      <c r="D77" s="3" t="s">
        <v>1</v>
      </c>
    </row>
    <row r="78" spans="1:4" x14ac:dyDescent="0.35">
      <c r="A78" s="1" t="s">
        <v>65</v>
      </c>
      <c r="B78" s="1">
        <f t="shared" si="1"/>
        <v>2003</v>
      </c>
      <c r="C78" s="4">
        <v>0.4</v>
      </c>
      <c r="D78" s="3" t="s">
        <v>1</v>
      </c>
    </row>
    <row r="79" spans="1:4" x14ac:dyDescent="0.35">
      <c r="A79" s="1" t="s">
        <v>66</v>
      </c>
      <c r="B79" s="1">
        <f t="shared" si="1"/>
        <v>2003</v>
      </c>
      <c r="C79" s="4">
        <v>0.8</v>
      </c>
      <c r="D79" s="3" t="s">
        <v>1</v>
      </c>
    </row>
    <row r="80" spans="1:4" x14ac:dyDescent="0.35">
      <c r="A80" s="1" t="s">
        <v>67</v>
      </c>
      <c r="B80" s="1">
        <f t="shared" si="1"/>
        <v>2002</v>
      </c>
      <c r="C80" s="4">
        <v>1.2</v>
      </c>
      <c r="D80" s="3" t="s">
        <v>1</v>
      </c>
    </row>
    <row r="81" spans="1:4" x14ac:dyDescent="0.35">
      <c r="A81" s="1" t="s">
        <v>68</v>
      </c>
      <c r="B81" s="1">
        <f t="shared" si="1"/>
        <v>2002</v>
      </c>
      <c r="C81" s="4">
        <v>1.2</v>
      </c>
      <c r="D81" s="3" t="s">
        <v>1</v>
      </c>
    </row>
    <row r="82" spans="1:4" x14ac:dyDescent="0.35">
      <c r="A82" s="1" t="s">
        <v>69</v>
      </c>
      <c r="B82" s="1">
        <f t="shared" si="1"/>
        <v>2002</v>
      </c>
      <c r="C82" s="4">
        <v>0.9</v>
      </c>
      <c r="D82" s="3" t="s">
        <v>1</v>
      </c>
    </row>
    <row r="83" spans="1:4" x14ac:dyDescent="0.35">
      <c r="A83" s="1" t="s">
        <v>70</v>
      </c>
      <c r="B83" s="1">
        <f t="shared" si="1"/>
        <v>2002</v>
      </c>
      <c r="C83" s="4">
        <v>0.4</v>
      </c>
      <c r="D83" s="3" t="s">
        <v>1</v>
      </c>
    </row>
    <row r="84" spans="1:4" x14ac:dyDescent="0.35">
      <c r="A84" s="1" t="s">
        <v>71</v>
      </c>
      <c r="B84" s="1">
        <f t="shared" si="1"/>
        <v>2001</v>
      </c>
      <c r="C84" s="4">
        <v>1.3</v>
      </c>
      <c r="D84" s="3" t="s">
        <v>1</v>
      </c>
    </row>
    <row r="85" spans="1:4" x14ac:dyDescent="0.35">
      <c r="A85" s="1" t="s">
        <v>72</v>
      </c>
      <c r="B85" s="1">
        <f t="shared" si="1"/>
        <v>2001</v>
      </c>
      <c r="C85" s="4">
        <v>1.9</v>
      </c>
      <c r="D85" s="3" t="s">
        <v>1</v>
      </c>
    </row>
    <row r="86" spans="1:4" x14ac:dyDescent="0.35">
      <c r="A86" s="1" t="s">
        <v>73</v>
      </c>
      <c r="B86" s="1">
        <f t="shared" si="1"/>
        <v>2001</v>
      </c>
      <c r="C86" s="4">
        <v>2.2999999999999998</v>
      </c>
      <c r="D86" s="3" t="s">
        <v>1</v>
      </c>
    </row>
    <row r="87" spans="1:4" x14ac:dyDescent="0.35">
      <c r="A87" s="1" t="s">
        <v>74</v>
      </c>
      <c r="B87" s="1">
        <f t="shared" si="1"/>
        <v>2001</v>
      </c>
      <c r="C87" s="4">
        <v>3.2</v>
      </c>
      <c r="D87" s="3" t="s">
        <v>1</v>
      </c>
    </row>
    <row r="88" spans="1:4" x14ac:dyDescent="0.35">
      <c r="A88" s="1" t="s">
        <v>75</v>
      </c>
      <c r="B88" s="1">
        <f t="shared" si="1"/>
        <v>2000</v>
      </c>
      <c r="C88" s="4">
        <v>3.4</v>
      </c>
      <c r="D88" s="3" t="s">
        <v>1</v>
      </c>
    </row>
    <row r="89" spans="1:4" x14ac:dyDescent="0.35">
      <c r="A89" s="1" t="s">
        <v>76</v>
      </c>
      <c r="B89" s="1">
        <f t="shared" si="1"/>
        <v>2000</v>
      </c>
      <c r="C89" s="4">
        <v>3.9</v>
      </c>
      <c r="D89" s="3" t="s">
        <v>1</v>
      </c>
    </row>
    <row r="90" spans="1:4" x14ac:dyDescent="0.35">
      <c r="A90" s="1" t="s">
        <v>77</v>
      </c>
      <c r="B90" s="1">
        <f t="shared" si="1"/>
        <v>2000</v>
      </c>
      <c r="C90" s="4">
        <v>4.5</v>
      </c>
      <c r="D90" s="3" t="s">
        <v>1</v>
      </c>
    </row>
    <row r="91" spans="1:4" x14ac:dyDescent="0.35">
      <c r="A91" s="1" t="s">
        <v>78</v>
      </c>
      <c r="B91" s="1">
        <f t="shared" si="1"/>
        <v>2000</v>
      </c>
      <c r="C91" s="4">
        <v>4.2</v>
      </c>
      <c r="D91" s="3" t="s">
        <v>1</v>
      </c>
    </row>
    <row r="92" spans="1:4" x14ac:dyDescent="0.35">
      <c r="A92" s="1" t="s">
        <v>79</v>
      </c>
      <c r="B92" s="1">
        <f t="shared" si="1"/>
        <v>1999</v>
      </c>
      <c r="C92" s="4">
        <v>3.9</v>
      </c>
      <c r="D92" s="3" t="s">
        <v>1</v>
      </c>
    </row>
    <row r="93" spans="1:4" x14ac:dyDescent="0.35">
      <c r="A93" s="1" t="s">
        <v>80</v>
      </c>
      <c r="B93" s="1">
        <f t="shared" si="1"/>
        <v>1999</v>
      </c>
      <c r="C93" s="4">
        <v>2.9</v>
      </c>
      <c r="D93" s="3" t="s">
        <v>1</v>
      </c>
    </row>
    <row r="94" spans="1:4" x14ac:dyDescent="0.35">
      <c r="A94" s="1" t="s">
        <v>81</v>
      </c>
      <c r="B94" s="1">
        <f t="shared" si="1"/>
        <v>1999</v>
      </c>
      <c r="C94" s="4">
        <v>2.2999999999999998</v>
      </c>
      <c r="D94" s="3" t="s">
        <v>1</v>
      </c>
    </row>
    <row r="95" spans="1:4" x14ac:dyDescent="0.35">
      <c r="A95" s="1" t="s">
        <v>82</v>
      </c>
      <c r="B95" s="1">
        <f t="shared" si="1"/>
        <v>1999</v>
      </c>
      <c r="C95" s="4">
        <v>2.2000000000000002</v>
      </c>
      <c r="D95" s="3" t="s">
        <v>1</v>
      </c>
    </row>
    <row r="96" spans="1:4" x14ac:dyDescent="0.35">
      <c r="A96" s="1" t="s">
        <v>83</v>
      </c>
      <c r="B96" s="1">
        <f t="shared" si="1"/>
        <v>1998</v>
      </c>
      <c r="C96" s="4">
        <v>1.8</v>
      </c>
      <c r="D96" s="3" t="s">
        <v>1</v>
      </c>
    </row>
    <row r="97" spans="1:4" x14ac:dyDescent="0.35">
      <c r="A97" s="1" t="s">
        <v>84</v>
      </c>
      <c r="B97" s="1">
        <f t="shared" si="1"/>
        <v>1998</v>
      </c>
      <c r="C97" s="4">
        <v>2.9</v>
      </c>
      <c r="D97" s="3" t="s">
        <v>1</v>
      </c>
    </row>
    <row r="98" spans="1:4" x14ac:dyDescent="0.35">
      <c r="A98" s="1" t="s">
        <v>85</v>
      </c>
      <c r="B98" s="1">
        <f t="shared" si="1"/>
        <v>1998</v>
      </c>
      <c r="C98" s="4">
        <v>3</v>
      </c>
      <c r="D98" s="3" t="s">
        <v>1</v>
      </c>
    </row>
    <row r="99" spans="1:4" x14ac:dyDescent="0.35">
      <c r="A99" s="1" t="s">
        <v>86</v>
      </c>
      <c r="B99" s="1">
        <f t="shared" si="1"/>
        <v>1998</v>
      </c>
      <c r="C99" s="4">
        <v>3.8</v>
      </c>
      <c r="D99" s="3" t="s">
        <v>1</v>
      </c>
    </row>
    <row r="100" spans="1:4" x14ac:dyDescent="0.35">
      <c r="A100" s="1" t="s">
        <v>87</v>
      </c>
      <c r="B100" s="1">
        <f t="shared" si="1"/>
        <v>1997</v>
      </c>
      <c r="C100" s="4">
        <v>3.4</v>
      </c>
      <c r="D100" s="3" t="s">
        <v>1</v>
      </c>
    </row>
    <row r="101" spans="1:4" x14ac:dyDescent="0.35">
      <c r="A101" s="1" t="s">
        <v>88</v>
      </c>
      <c r="B101" s="1">
        <f t="shared" si="1"/>
        <v>1997</v>
      </c>
      <c r="C101" s="4">
        <v>2.7</v>
      </c>
      <c r="D101" s="3" t="s">
        <v>1</v>
      </c>
    </row>
    <row r="102" spans="1:4" x14ac:dyDescent="0.35">
      <c r="A102" s="1" t="s">
        <v>89</v>
      </c>
      <c r="B102" s="1">
        <f t="shared" si="1"/>
        <v>1997</v>
      </c>
      <c r="C102" s="4">
        <v>2.5</v>
      </c>
      <c r="D102" s="3" t="s">
        <v>1</v>
      </c>
    </row>
    <row r="103" spans="1:4" x14ac:dyDescent="0.35">
      <c r="A103" s="1" t="s">
        <v>90</v>
      </c>
      <c r="B103" s="1">
        <f t="shared" si="1"/>
        <v>1997</v>
      </c>
      <c r="C103" s="4">
        <v>2</v>
      </c>
      <c r="D103" s="3" t="s">
        <v>1</v>
      </c>
    </row>
    <row r="104" spans="1:4" x14ac:dyDescent="0.35">
      <c r="A104" s="1" t="s">
        <v>91</v>
      </c>
      <c r="B104" s="1">
        <f t="shared" si="1"/>
        <v>1996</v>
      </c>
      <c r="C104" s="4">
        <v>1.9</v>
      </c>
      <c r="D104" s="3" t="s">
        <v>1</v>
      </c>
    </row>
    <row r="105" spans="1:4" x14ac:dyDescent="0.35">
      <c r="A105" s="1" t="s">
        <v>92</v>
      </c>
      <c r="B105" s="1">
        <f t="shared" si="1"/>
        <v>1996</v>
      </c>
      <c r="C105" s="4">
        <v>1.8</v>
      </c>
      <c r="D105" s="3" t="s">
        <v>1</v>
      </c>
    </row>
    <row r="106" spans="1:4" x14ac:dyDescent="0.35">
      <c r="A106" s="1" t="s">
        <v>93</v>
      </c>
      <c r="B106" s="1">
        <f t="shared" si="1"/>
        <v>1996</v>
      </c>
      <c r="C106" s="4">
        <v>1.5</v>
      </c>
      <c r="D106" s="3" t="s">
        <v>1</v>
      </c>
    </row>
    <row r="107" spans="1:4" x14ac:dyDescent="0.35">
      <c r="A107" s="1" t="s">
        <v>94</v>
      </c>
      <c r="B107" s="1">
        <f t="shared" si="1"/>
        <v>1996</v>
      </c>
      <c r="C107" s="4">
        <v>1.3</v>
      </c>
      <c r="D107" s="3" t="s">
        <v>1</v>
      </c>
    </row>
  </sheetData>
  <hyperlinks>
    <hyperlink ref="A4" r:id="rId1" display="https://sdw.ecb.europa.eu/quickview.do?SERIES_KEY=320.MNA.Q.Y.I8.W2.S1.S1.B.B1GQ._Z._Z._Z.EUR.LR.GY&amp;periodSortOrder=ASC" xr:uid="{9C5B01CE-745F-416A-A0F3-1DE0C4186AA1}"/>
  </hyperlink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EAAB2-D85B-4A3C-82F8-44AC81F07AB7}">
  <sheetPr codeName="Tabelle4">
    <tabColor rgb="FFFFC000"/>
  </sheetPr>
  <dimension ref="A1:E313"/>
  <sheetViews>
    <sheetView workbookViewId="0">
      <selection activeCell="C8" sqref="C8"/>
    </sheetView>
  </sheetViews>
  <sheetFormatPr defaultColWidth="11.453125" defaultRowHeight="14.5" x14ac:dyDescent="0.35"/>
  <cols>
    <col min="5" max="5" width="23.1796875" bestFit="1" customWidth="1"/>
  </cols>
  <sheetData>
    <row r="1" spans="1:5" x14ac:dyDescent="0.35">
      <c r="A1" s="8" t="s">
        <v>466</v>
      </c>
    </row>
    <row r="3" spans="1:5" ht="15" thickBot="1" x14ac:dyDescent="0.4">
      <c r="A3" t="s">
        <v>408</v>
      </c>
    </row>
    <row r="4" spans="1:5" ht="21" thickBot="1" x14ac:dyDescent="0.4">
      <c r="A4" s="9" t="s">
        <v>379</v>
      </c>
      <c r="B4" s="10" t="s">
        <v>380</v>
      </c>
      <c r="C4" s="10" t="s">
        <v>381</v>
      </c>
      <c r="D4" s="10" t="s">
        <v>382</v>
      </c>
      <c r="E4" s="11" t="s">
        <v>419</v>
      </c>
    </row>
    <row r="5" spans="1:5" ht="27" x14ac:dyDescent="0.35">
      <c r="A5" s="1" t="s">
        <v>467</v>
      </c>
      <c r="B5" s="2">
        <v>108.49</v>
      </c>
      <c r="C5" s="2" t="s">
        <v>468</v>
      </c>
      <c r="D5" s="3" t="s">
        <v>1</v>
      </c>
      <c r="E5" s="3"/>
    </row>
    <row r="6" spans="1:5" ht="27" x14ac:dyDescent="0.35">
      <c r="A6" s="1" t="s">
        <v>469</v>
      </c>
      <c r="B6" s="2">
        <v>107.98</v>
      </c>
      <c r="C6" s="2"/>
      <c r="D6" s="3" t="s">
        <v>1</v>
      </c>
      <c r="E6" s="3"/>
    </row>
    <row r="7" spans="1:5" ht="27" x14ac:dyDescent="0.35">
      <c r="A7" s="1" t="s">
        <v>470</v>
      </c>
      <c r="B7" s="2">
        <v>107.6</v>
      </c>
      <c r="C7" s="2"/>
      <c r="D7" s="3" t="s">
        <v>1</v>
      </c>
      <c r="E7" s="3"/>
    </row>
    <row r="8" spans="1:5" ht="27" x14ac:dyDescent="0.35">
      <c r="A8" s="1" t="s">
        <v>471</v>
      </c>
      <c r="B8" s="2">
        <v>107.7</v>
      </c>
      <c r="C8" s="2" t="s">
        <v>472</v>
      </c>
      <c r="D8" s="3" t="s">
        <v>1</v>
      </c>
      <c r="E8" s="3"/>
    </row>
    <row r="9" spans="1:5" ht="27" x14ac:dyDescent="0.35">
      <c r="A9" s="1" t="s">
        <v>473</v>
      </c>
      <c r="B9" s="2">
        <v>107.42</v>
      </c>
      <c r="C9" s="2"/>
      <c r="D9" s="3" t="s">
        <v>1</v>
      </c>
      <c r="E9" s="3"/>
    </row>
    <row r="10" spans="1:5" ht="27" x14ac:dyDescent="0.35">
      <c r="A10" s="1" t="s">
        <v>474</v>
      </c>
      <c r="B10" s="2">
        <v>107.14</v>
      </c>
      <c r="C10" s="2"/>
      <c r="D10" s="3" t="s">
        <v>1</v>
      </c>
      <c r="E10" s="3"/>
    </row>
    <row r="11" spans="1:5" ht="27" x14ac:dyDescent="0.35">
      <c r="A11" s="1" t="s">
        <v>475</v>
      </c>
      <c r="B11" s="2">
        <v>106.53</v>
      </c>
      <c r="C11" s="2" t="s">
        <v>476</v>
      </c>
      <c r="D11" s="3" t="s">
        <v>1</v>
      </c>
      <c r="E11" s="3"/>
    </row>
    <row r="12" spans="1:5" ht="27" x14ac:dyDescent="0.35">
      <c r="A12" s="1" t="s">
        <v>477</v>
      </c>
      <c r="B12" s="2">
        <v>105.54</v>
      </c>
      <c r="C12" s="2"/>
      <c r="D12" s="3" t="s">
        <v>1</v>
      </c>
      <c r="E12" s="3"/>
    </row>
    <row r="13" spans="1:5" ht="27" x14ac:dyDescent="0.35">
      <c r="A13" s="1" t="s">
        <v>478</v>
      </c>
      <c r="B13" s="2">
        <v>105.32</v>
      </c>
      <c r="C13" s="2"/>
      <c r="D13" s="3" t="s">
        <v>1</v>
      </c>
      <c r="E13" s="3"/>
    </row>
    <row r="14" spans="1:5" ht="27" x14ac:dyDescent="0.35">
      <c r="A14" s="1" t="s">
        <v>479</v>
      </c>
      <c r="B14" s="2">
        <v>105.15</v>
      </c>
      <c r="C14" s="2" t="s">
        <v>480</v>
      </c>
      <c r="D14" s="3" t="s">
        <v>1</v>
      </c>
      <c r="E14" s="3"/>
    </row>
    <row r="15" spans="1:5" ht="27" x14ac:dyDescent="0.35">
      <c r="A15" s="1" t="s">
        <v>481</v>
      </c>
      <c r="B15" s="2">
        <v>104.8</v>
      </c>
      <c r="C15" s="2"/>
      <c r="D15" s="3" t="s">
        <v>1</v>
      </c>
      <c r="E15" s="3"/>
    </row>
    <row r="16" spans="1:5" ht="27" x14ac:dyDescent="0.35">
      <c r="A16" s="1" t="s">
        <v>482</v>
      </c>
      <c r="B16" s="2">
        <v>105.15</v>
      </c>
      <c r="C16" s="2"/>
      <c r="D16" s="3" t="s">
        <v>1</v>
      </c>
      <c r="E16" s="3"/>
    </row>
    <row r="17" spans="1:5" ht="27" x14ac:dyDescent="0.35">
      <c r="A17" s="1" t="s">
        <v>427</v>
      </c>
      <c r="B17" s="2">
        <v>104.96</v>
      </c>
      <c r="C17" s="2">
        <v>105.05</v>
      </c>
      <c r="D17" s="3" t="s">
        <v>1</v>
      </c>
      <c r="E17" s="3"/>
    </row>
    <row r="18" spans="1:5" ht="27" x14ac:dyDescent="0.35">
      <c r="A18" s="1" t="s">
        <v>428</v>
      </c>
      <c r="B18" s="2">
        <v>104.88</v>
      </c>
      <c r="C18" s="2"/>
      <c r="D18" s="3" t="s">
        <v>1</v>
      </c>
      <c r="E18" s="3"/>
    </row>
    <row r="19" spans="1:5" ht="27" x14ac:dyDescent="0.35">
      <c r="A19" s="1" t="s">
        <v>429</v>
      </c>
      <c r="B19" s="2">
        <v>105.32</v>
      </c>
      <c r="C19" s="2"/>
      <c r="D19" s="3" t="s">
        <v>1</v>
      </c>
      <c r="E19" s="3"/>
    </row>
    <row r="20" spans="1:5" ht="27" x14ac:dyDescent="0.35">
      <c r="A20" s="1" t="s">
        <v>430</v>
      </c>
      <c r="B20" s="2">
        <v>105.69</v>
      </c>
      <c r="C20" s="2">
        <v>105.48</v>
      </c>
      <c r="D20" s="3" t="s">
        <v>1</v>
      </c>
      <c r="E20" s="3"/>
    </row>
    <row r="21" spans="1:5" ht="27" x14ac:dyDescent="0.35">
      <c r="A21" s="1" t="s">
        <v>431</v>
      </c>
      <c r="B21" s="2">
        <v>105.33</v>
      </c>
      <c r="C21" s="2"/>
      <c r="D21" s="3" t="s">
        <v>1</v>
      </c>
      <c r="E21" s="3"/>
    </row>
    <row r="22" spans="1:5" ht="27" x14ac:dyDescent="0.35">
      <c r="A22" s="1" t="s">
        <v>432</v>
      </c>
      <c r="B22" s="2">
        <v>105.43</v>
      </c>
      <c r="C22" s="2"/>
      <c r="D22" s="3" t="s">
        <v>1</v>
      </c>
      <c r="E22" s="3"/>
    </row>
    <row r="23" spans="1:5" ht="27" x14ac:dyDescent="0.35">
      <c r="A23" s="1" t="s">
        <v>433</v>
      </c>
      <c r="B23" s="2">
        <v>105.13</v>
      </c>
      <c r="C23" s="2">
        <v>104.69</v>
      </c>
      <c r="D23" s="3" t="s">
        <v>1</v>
      </c>
      <c r="E23" s="3"/>
    </row>
    <row r="24" spans="1:5" ht="27" x14ac:dyDescent="0.35">
      <c r="A24" s="1" t="s">
        <v>434</v>
      </c>
      <c r="B24" s="2">
        <v>104.56</v>
      </c>
      <c r="C24" s="2"/>
      <c r="D24" s="3" t="s">
        <v>1</v>
      </c>
      <c r="E24" s="3"/>
    </row>
    <row r="25" spans="1:5" ht="27" x14ac:dyDescent="0.35">
      <c r="A25" s="1" t="s">
        <v>435</v>
      </c>
      <c r="B25" s="2">
        <v>104.37</v>
      </c>
      <c r="C25" s="2"/>
      <c r="D25" s="3" t="s">
        <v>1</v>
      </c>
      <c r="E25" s="3"/>
    </row>
    <row r="26" spans="1:5" ht="27" x14ac:dyDescent="0.35">
      <c r="A26" s="1" t="s">
        <v>436</v>
      </c>
      <c r="B26" s="2">
        <v>105.43</v>
      </c>
      <c r="C26" s="2">
        <v>105.32</v>
      </c>
      <c r="D26" s="3" t="s">
        <v>1</v>
      </c>
      <c r="E26" s="3"/>
    </row>
    <row r="27" spans="1:5" ht="27" x14ac:dyDescent="0.35">
      <c r="A27" s="1" t="s">
        <v>437</v>
      </c>
      <c r="B27" s="2">
        <v>105.1</v>
      </c>
      <c r="C27" s="2"/>
      <c r="D27" s="3" t="s">
        <v>1</v>
      </c>
      <c r="E27" s="3"/>
    </row>
    <row r="28" spans="1:5" ht="27" x14ac:dyDescent="0.35">
      <c r="A28" s="1" t="s">
        <v>438</v>
      </c>
      <c r="B28" s="2">
        <v>105.44</v>
      </c>
      <c r="C28" s="2"/>
      <c r="D28" s="3" t="s">
        <v>1</v>
      </c>
      <c r="E28" s="3"/>
    </row>
    <row r="29" spans="1:5" ht="27" x14ac:dyDescent="0.35">
      <c r="A29" s="1" t="s">
        <v>439</v>
      </c>
      <c r="B29" s="2">
        <v>105.29</v>
      </c>
      <c r="C29" s="2">
        <v>105.09</v>
      </c>
      <c r="D29" s="3" t="s">
        <v>1</v>
      </c>
      <c r="E29" s="3"/>
    </row>
    <row r="30" spans="1:5" ht="27" x14ac:dyDescent="0.35">
      <c r="A30" s="1" t="s">
        <v>95</v>
      </c>
      <c r="B30" s="2">
        <v>105.06</v>
      </c>
      <c r="C30" s="2"/>
      <c r="D30" s="3" t="s">
        <v>1</v>
      </c>
      <c r="E30" s="3"/>
    </row>
    <row r="31" spans="1:5" ht="27" x14ac:dyDescent="0.35">
      <c r="A31" s="1" t="s">
        <v>96</v>
      </c>
      <c r="B31" s="2">
        <v>104.91</v>
      </c>
      <c r="C31" s="2"/>
      <c r="D31" s="3" t="s">
        <v>1</v>
      </c>
      <c r="E31" s="3"/>
    </row>
    <row r="32" spans="1:5" ht="27" x14ac:dyDescent="0.35">
      <c r="A32" s="1" t="s">
        <v>97</v>
      </c>
      <c r="B32" s="2">
        <v>105.41</v>
      </c>
      <c r="C32" s="2">
        <v>105.25</v>
      </c>
      <c r="D32" s="3" t="s">
        <v>1</v>
      </c>
      <c r="E32" s="3"/>
    </row>
    <row r="33" spans="1:5" ht="27" x14ac:dyDescent="0.35">
      <c r="A33" s="1" t="s">
        <v>98</v>
      </c>
      <c r="B33" s="2">
        <v>105.24</v>
      </c>
      <c r="C33" s="2"/>
      <c r="D33" s="3" t="s">
        <v>1</v>
      </c>
      <c r="E33" s="3"/>
    </row>
    <row r="34" spans="1:5" ht="27" x14ac:dyDescent="0.35">
      <c r="A34" s="1" t="s">
        <v>99</v>
      </c>
      <c r="B34" s="2">
        <v>105.1</v>
      </c>
      <c r="C34" s="2"/>
      <c r="D34" s="3" t="s">
        <v>1</v>
      </c>
      <c r="E34" s="3"/>
    </row>
    <row r="35" spans="1:5" ht="27" x14ac:dyDescent="0.35">
      <c r="A35" s="1" t="s">
        <v>100</v>
      </c>
      <c r="B35" s="2">
        <v>104.35</v>
      </c>
      <c r="C35" s="2">
        <v>103.54</v>
      </c>
      <c r="D35" s="3" t="s">
        <v>1</v>
      </c>
      <c r="E35" s="3"/>
    </row>
    <row r="36" spans="1:5" ht="27" x14ac:dyDescent="0.35">
      <c r="A36" s="1" t="s">
        <v>101</v>
      </c>
      <c r="B36" s="2">
        <v>103.3</v>
      </c>
      <c r="C36" s="2"/>
      <c r="D36" s="3" t="s">
        <v>1</v>
      </c>
      <c r="E36" s="3"/>
    </row>
    <row r="37" spans="1:5" ht="27" x14ac:dyDescent="0.35">
      <c r="A37" s="1" t="s">
        <v>102</v>
      </c>
      <c r="B37" s="2">
        <v>102.97</v>
      </c>
      <c r="C37" s="2"/>
      <c r="D37" s="3" t="s">
        <v>1</v>
      </c>
      <c r="E37" s="3"/>
    </row>
    <row r="38" spans="1:5" ht="27" x14ac:dyDescent="0.35">
      <c r="A38" s="1" t="s">
        <v>103</v>
      </c>
      <c r="B38" s="2">
        <v>104.05</v>
      </c>
      <c r="C38" s="2">
        <v>104.28</v>
      </c>
      <c r="D38" s="3" t="s">
        <v>1</v>
      </c>
      <c r="E38" s="3"/>
    </row>
    <row r="39" spans="1:5" ht="27" x14ac:dyDescent="0.35">
      <c r="A39" s="1" t="s">
        <v>104</v>
      </c>
      <c r="B39" s="2">
        <v>104.1</v>
      </c>
      <c r="C39" s="2"/>
      <c r="D39" s="3" t="s">
        <v>1</v>
      </c>
      <c r="E39" s="3"/>
    </row>
    <row r="40" spans="1:5" ht="27" x14ac:dyDescent="0.35">
      <c r="A40" s="1" t="s">
        <v>105</v>
      </c>
      <c r="B40" s="2">
        <v>104.68</v>
      </c>
      <c r="C40" s="2"/>
      <c r="D40" s="3" t="s">
        <v>1</v>
      </c>
      <c r="E40" s="3"/>
    </row>
    <row r="41" spans="1:5" ht="27" x14ac:dyDescent="0.35">
      <c r="A41" s="1" t="s">
        <v>106</v>
      </c>
      <c r="B41" s="2">
        <v>104.42</v>
      </c>
      <c r="C41" s="2">
        <v>104.09</v>
      </c>
      <c r="D41" s="3" t="s">
        <v>1</v>
      </c>
      <c r="E41" s="3"/>
    </row>
    <row r="42" spans="1:5" ht="27" x14ac:dyDescent="0.35">
      <c r="A42" s="1" t="s">
        <v>107</v>
      </c>
      <c r="B42" s="2">
        <v>104.01</v>
      </c>
      <c r="C42" s="2"/>
      <c r="D42" s="3" t="s">
        <v>1</v>
      </c>
      <c r="E42" s="3"/>
    </row>
    <row r="43" spans="1:5" ht="27" x14ac:dyDescent="0.35">
      <c r="A43" s="1" t="s">
        <v>108</v>
      </c>
      <c r="B43" s="2">
        <v>103.85</v>
      </c>
      <c r="C43" s="2"/>
      <c r="D43" s="3" t="s">
        <v>1</v>
      </c>
      <c r="E43" s="3"/>
    </row>
    <row r="44" spans="1:5" ht="27" x14ac:dyDescent="0.35">
      <c r="A44" s="1" t="s">
        <v>109</v>
      </c>
      <c r="B44" s="2">
        <v>104.09</v>
      </c>
      <c r="C44" s="2">
        <v>103.79</v>
      </c>
      <c r="D44" s="3" t="s">
        <v>1</v>
      </c>
      <c r="E44" s="3"/>
    </row>
    <row r="45" spans="1:5" ht="27" x14ac:dyDescent="0.35">
      <c r="A45" s="1" t="s">
        <v>110</v>
      </c>
      <c r="B45" s="2">
        <v>103.97</v>
      </c>
      <c r="C45" s="2"/>
      <c r="D45" s="3" t="s">
        <v>1</v>
      </c>
      <c r="E45" s="3"/>
    </row>
    <row r="46" spans="1:5" ht="27" x14ac:dyDescent="0.35">
      <c r="A46" s="1" t="s">
        <v>111</v>
      </c>
      <c r="B46" s="2">
        <v>103.32</v>
      </c>
      <c r="C46" s="2"/>
      <c r="D46" s="3" t="s">
        <v>1</v>
      </c>
      <c r="E46" s="3"/>
    </row>
    <row r="47" spans="1:5" ht="27" x14ac:dyDescent="0.35">
      <c r="A47" s="1" t="s">
        <v>112</v>
      </c>
      <c r="B47" s="2">
        <v>102.91</v>
      </c>
      <c r="C47" s="2">
        <v>102.08</v>
      </c>
      <c r="D47" s="3" t="s">
        <v>1</v>
      </c>
      <c r="E47" s="3"/>
    </row>
    <row r="48" spans="1:5" ht="27" x14ac:dyDescent="0.35">
      <c r="A48" s="1" t="s">
        <v>113</v>
      </c>
      <c r="B48" s="2">
        <v>101.78</v>
      </c>
      <c r="C48" s="2"/>
      <c r="D48" s="3" t="s">
        <v>1</v>
      </c>
      <c r="E48" s="3"/>
    </row>
    <row r="49" spans="1:5" ht="27" x14ac:dyDescent="0.35">
      <c r="A49" s="1" t="s">
        <v>114</v>
      </c>
      <c r="B49" s="2">
        <v>101.56</v>
      </c>
      <c r="C49" s="2"/>
      <c r="D49" s="3" t="s">
        <v>1</v>
      </c>
      <c r="E49" s="3"/>
    </row>
    <row r="50" spans="1:5" ht="27" x14ac:dyDescent="0.35">
      <c r="A50" s="1" t="s">
        <v>115</v>
      </c>
      <c r="B50" s="2">
        <v>102.49</v>
      </c>
      <c r="C50" s="2">
        <v>102.32</v>
      </c>
      <c r="D50" s="3" t="s">
        <v>1</v>
      </c>
      <c r="E50" s="3"/>
    </row>
    <row r="51" spans="1:5" ht="27" x14ac:dyDescent="0.35">
      <c r="A51" s="1" t="s">
        <v>116</v>
      </c>
      <c r="B51" s="2">
        <v>102.14</v>
      </c>
      <c r="C51" s="2"/>
      <c r="D51" s="3" t="s">
        <v>1</v>
      </c>
      <c r="E51" s="3"/>
    </row>
    <row r="52" spans="1:5" ht="27" x14ac:dyDescent="0.35">
      <c r="A52" s="1" t="s">
        <v>117</v>
      </c>
      <c r="B52" s="2">
        <v>102.34</v>
      </c>
      <c r="C52" s="2"/>
      <c r="D52" s="3" t="s">
        <v>1</v>
      </c>
      <c r="E52" s="3"/>
    </row>
    <row r="53" spans="1:5" ht="27" x14ac:dyDescent="0.35">
      <c r="A53" s="1" t="s">
        <v>118</v>
      </c>
      <c r="B53" s="2">
        <v>102.29</v>
      </c>
      <c r="C53" s="2">
        <v>101.93</v>
      </c>
      <c r="D53" s="3" t="s">
        <v>1</v>
      </c>
      <c r="E53" s="3"/>
    </row>
    <row r="54" spans="1:5" ht="27" x14ac:dyDescent="0.35">
      <c r="A54" s="1" t="s">
        <v>119</v>
      </c>
      <c r="B54" s="2">
        <v>101.89</v>
      </c>
      <c r="C54" s="2"/>
      <c r="D54" s="3" t="s">
        <v>1</v>
      </c>
      <c r="E54" s="3"/>
    </row>
    <row r="55" spans="1:5" ht="27" x14ac:dyDescent="0.35">
      <c r="A55" s="1" t="s">
        <v>120</v>
      </c>
      <c r="B55" s="2">
        <v>101.62</v>
      </c>
      <c r="C55" s="2"/>
      <c r="D55" s="3" t="s">
        <v>1</v>
      </c>
      <c r="E55" s="3"/>
    </row>
    <row r="56" spans="1:5" ht="27" x14ac:dyDescent="0.35">
      <c r="A56" s="1" t="s">
        <v>121</v>
      </c>
      <c r="B56" s="2">
        <v>102.08</v>
      </c>
      <c r="C56" s="2">
        <v>102.04</v>
      </c>
      <c r="D56" s="3" t="s">
        <v>1</v>
      </c>
      <c r="E56" s="3"/>
    </row>
    <row r="57" spans="1:5" ht="27" x14ac:dyDescent="0.35">
      <c r="A57" s="1" t="s">
        <v>122</v>
      </c>
      <c r="B57" s="2">
        <v>101.98</v>
      </c>
      <c r="C57" s="2"/>
      <c r="D57" s="3" t="s">
        <v>1</v>
      </c>
      <c r="E57" s="3"/>
    </row>
    <row r="58" spans="1:5" ht="27" x14ac:dyDescent="0.35">
      <c r="A58" s="1" t="s">
        <v>123</v>
      </c>
      <c r="B58" s="2">
        <v>102.07</v>
      </c>
      <c r="C58" s="2"/>
      <c r="D58" s="3" t="s">
        <v>1</v>
      </c>
      <c r="E58" s="3"/>
    </row>
    <row r="59" spans="1:5" ht="27" x14ac:dyDescent="0.35">
      <c r="A59" s="1" t="s">
        <v>124</v>
      </c>
      <c r="B59" s="2">
        <v>101.49</v>
      </c>
      <c r="C59" s="2">
        <v>100.8</v>
      </c>
      <c r="D59" s="3" t="s">
        <v>1</v>
      </c>
      <c r="E59" s="3"/>
    </row>
    <row r="60" spans="1:5" ht="27" x14ac:dyDescent="0.35">
      <c r="A60" s="1" t="s">
        <v>125</v>
      </c>
      <c r="B60" s="2">
        <v>100.66</v>
      </c>
      <c r="C60" s="2"/>
      <c r="D60" s="3" t="s">
        <v>1</v>
      </c>
      <c r="E60" s="3"/>
    </row>
    <row r="61" spans="1:5" ht="27" x14ac:dyDescent="0.35">
      <c r="A61" s="1" t="s">
        <v>126</v>
      </c>
      <c r="B61" s="2">
        <v>100.26</v>
      </c>
      <c r="C61" s="2"/>
      <c r="D61" s="3" t="s">
        <v>1</v>
      </c>
      <c r="E61" s="3"/>
    </row>
    <row r="62" spans="1:5" ht="27" x14ac:dyDescent="0.35">
      <c r="A62" s="1" t="s">
        <v>127</v>
      </c>
      <c r="B62" s="2">
        <v>101.13</v>
      </c>
      <c r="C62" s="2">
        <v>100.9</v>
      </c>
      <c r="D62" s="3" t="s">
        <v>1</v>
      </c>
      <c r="E62" s="3"/>
    </row>
    <row r="63" spans="1:5" ht="27" x14ac:dyDescent="0.35">
      <c r="A63" s="1" t="s">
        <v>128</v>
      </c>
      <c r="B63" s="2">
        <v>100.6</v>
      </c>
      <c r="C63" s="2"/>
      <c r="D63" s="3" t="s">
        <v>1</v>
      </c>
      <c r="E63" s="3"/>
    </row>
    <row r="64" spans="1:5" ht="27" x14ac:dyDescent="0.35">
      <c r="A64" s="1" t="s">
        <v>129</v>
      </c>
      <c r="B64" s="2">
        <v>100.96</v>
      </c>
      <c r="C64" s="2"/>
      <c r="D64" s="3" t="s">
        <v>1</v>
      </c>
      <c r="E64" s="3"/>
    </row>
    <row r="65" spans="1:5" ht="27" x14ac:dyDescent="0.35">
      <c r="A65" s="1" t="s">
        <v>130</v>
      </c>
      <c r="B65" s="2">
        <v>100.72</v>
      </c>
      <c r="C65" s="2">
        <v>100.45</v>
      </c>
      <c r="D65" s="3" t="s">
        <v>1</v>
      </c>
      <c r="E65" s="3"/>
    </row>
    <row r="66" spans="1:5" ht="27" x14ac:dyDescent="0.35">
      <c r="A66" s="1" t="s">
        <v>131</v>
      </c>
      <c r="B66" s="2">
        <v>100.34</v>
      </c>
      <c r="C66" s="2"/>
      <c r="D66" s="3" t="s">
        <v>1</v>
      </c>
      <c r="E66" s="3"/>
    </row>
    <row r="67" spans="1:5" ht="27" x14ac:dyDescent="0.35">
      <c r="A67" s="1" t="s">
        <v>132</v>
      </c>
      <c r="B67" s="2">
        <v>100.28</v>
      </c>
      <c r="C67" s="2"/>
      <c r="D67" s="3" t="s">
        <v>1</v>
      </c>
      <c r="E67" s="3"/>
    </row>
    <row r="68" spans="1:5" ht="27" x14ac:dyDescent="0.35">
      <c r="A68" s="1" t="s">
        <v>133</v>
      </c>
      <c r="B68" s="2">
        <v>100.77</v>
      </c>
      <c r="C68" s="2">
        <v>100.51</v>
      </c>
      <c r="D68" s="3" t="s">
        <v>1</v>
      </c>
      <c r="E68" s="3"/>
    </row>
    <row r="69" spans="1:5" ht="27" x14ac:dyDescent="0.35">
      <c r="A69" s="1" t="s">
        <v>134</v>
      </c>
      <c r="B69" s="2">
        <v>100.59</v>
      </c>
      <c r="C69" s="2"/>
      <c r="D69" s="3" t="s">
        <v>1</v>
      </c>
      <c r="E69" s="3"/>
    </row>
    <row r="70" spans="1:5" ht="27" x14ac:dyDescent="0.35">
      <c r="A70" s="1" t="s">
        <v>135</v>
      </c>
      <c r="B70" s="2">
        <v>100.17</v>
      </c>
      <c r="C70" s="2"/>
      <c r="D70" s="3" t="s">
        <v>1</v>
      </c>
      <c r="E70" s="3"/>
    </row>
    <row r="71" spans="1:5" ht="27" x14ac:dyDescent="0.35">
      <c r="A71" s="1" t="s">
        <v>136</v>
      </c>
      <c r="B71" s="2">
        <v>99.96</v>
      </c>
      <c r="C71" s="2">
        <v>99.08</v>
      </c>
      <c r="D71" s="3" t="s">
        <v>1</v>
      </c>
      <c r="E71" s="3"/>
    </row>
    <row r="72" spans="1:5" ht="27" x14ac:dyDescent="0.35">
      <c r="A72" s="1" t="s">
        <v>137</v>
      </c>
      <c r="B72" s="2">
        <v>98.73</v>
      </c>
      <c r="C72" s="2"/>
      <c r="D72" s="3" t="s">
        <v>1</v>
      </c>
      <c r="E72" s="3"/>
    </row>
    <row r="73" spans="1:5" ht="27" x14ac:dyDescent="0.35">
      <c r="A73" s="1" t="s">
        <v>138</v>
      </c>
      <c r="B73" s="2">
        <v>98.56</v>
      </c>
      <c r="C73" s="2"/>
      <c r="D73" s="3" t="s">
        <v>1</v>
      </c>
      <c r="E73" s="3"/>
    </row>
    <row r="74" spans="1:5" ht="27" x14ac:dyDescent="0.35">
      <c r="A74" s="1" t="s">
        <v>139</v>
      </c>
      <c r="B74" s="2">
        <v>100.03</v>
      </c>
      <c r="C74" s="2">
        <v>100.16</v>
      </c>
      <c r="D74" s="3" t="s">
        <v>1</v>
      </c>
      <c r="E74" s="3"/>
    </row>
    <row r="75" spans="1:5" ht="27" x14ac:dyDescent="0.35">
      <c r="A75" s="1" t="s">
        <v>140</v>
      </c>
      <c r="B75" s="2">
        <v>100.01</v>
      </c>
      <c r="C75" s="2"/>
      <c r="D75" s="3" t="s">
        <v>1</v>
      </c>
      <c r="E75" s="3"/>
    </row>
    <row r="76" spans="1:5" ht="27" x14ac:dyDescent="0.35">
      <c r="A76" s="1" t="s">
        <v>141</v>
      </c>
      <c r="B76" s="2">
        <v>100.45</v>
      </c>
      <c r="C76" s="2"/>
      <c r="D76" s="3" t="s">
        <v>1</v>
      </c>
      <c r="E76" s="3"/>
    </row>
    <row r="77" spans="1:5" ht="27" x14ac:dyDescent="0.35">
      <c r="A77" s="1" t="s">
        <v>142</v>
      </c>
      <c r="B77" s="2">
        <v>100.32</v>
      </c>
      <c r="C77" s="2">
        <v>100.18</v>
      </c>
      <c r="D77" s="3" t="s">
        <v>1</v>
      </c>
      <c r="E77" s="3"/>
    </row>
    <row r="78" spans="1:5" ht="27" x14ac:dyDescent="0.35">
      <c r="A78" s="1" t="s">
        <v>143</v>
      </c>
      <c r="B78" s="2">
        <v>100.12</v>
      </c>
      <c r="C78" s="2"/>
      <c r="D78" s="3" t="s">
        <v>1</v>
      </c>
      <c r="E78" s="3"/>
    </row>
    <row r="79" spans="1:5" ht="27" x14ac:dyDescent="0.35">
      <c r="A79" s="1" t="s">
        <v>144</v>
      </c>
      <c r="B79" s="2">
        <v>100.11</v>
      </c>
      <c r="C79" s="2"/>
      <c r="D79" s="3" t="s">
        <v>1</v>
      </c>
      <c r="E79" s="3"/>
    </row>
    <row r="80" spans="1:5" ht="27" x14ac:dyDescent="0.35">
      <c r="A80" s="1" t="s">
        <v>145</v>
      </c>
      <c r="B80" s="2">
        <v>100.72</v>
      </c>
      <c r="C80" s="2">
        <v>100.62</v>
      </c>
      <c r="D80" s="3" t="s">
        <v>1</v>
      </c>
      <c r="E80" s="3"/>
    </row>
    <row r="81" spans="1:5" ht="27" x14ac:dyDescent="0.35">
      <c r="A81" s="1" t="s">
        <v>146</v>
      </c>
      <c r="B81" s="2">
        <v>100.71</v>
      </c>
      <c r="C81" s="2"/>
      <c r="D81" s="3" t="s">
        <v>1</v>
      </c>
      <c r="E81" s="3"/>
    </row>
    <row r="82" spans="1:5" ht="27" x14ac:dyDescent="0.35">
      <c r="A82" s="1" t="s">
        <v>147</v>
      </c>
      <c r="B82" s="2">
        <v>100.43</v>
      </c>
      <c r="C82" s="2"/>
      <c r="D82" s="3" t="s">
        <v>1</v>
      </c>
      <c r="E82" s="3"/>
    </row>
    <row r="83" spans="1:5" ht="27" x14ac:dyDescent="0.35">
      <c r="A83" s="1" t="s">
        <v>148</v>
      </c>
      <c r="B83" s="2">
        <v>100</v>
      </c>
      <c r="C83" s="2">
        <v>99.03</v>
      </c>
      <c r="D83" s="3" t="s">
        <v>1</v>
      </c>
      <c r="E83" s="3"/>
    </row>
    <row r="84" spans="1:5" ht="27" x14ac:dyDescent="0.35">
      <c r="A84" s="1" t="s">
        <v>149</v>
      </c>
      <c r="B84" s="2">
        <v>98.85</v>
      </c>
      <c r="C84" s="2"/>
      <c r="D84" s="3" t="s">
        <v>1</v>
      </c>
      <c r="E84" s="3"/>
    </row>
    <row r="85" spans="1:5" ht="27" x14ac:dyDescent="0.35">
      <c r="A85" s="1" t="s">
        <v>150</v>
      </c>
      <c r="B85" s="2">
        <v>98.24</v>
      </c>
      <c r="C85" s="2"/>
      <c r="D85" s="3" t="s">
        <v>1</v>
      </c>
      <c r="E85" s="3"/>
    </row>
    <row r="86" spans="1:5" ht="27" x14ac:dyDescent="0.35">
      <c r="A86" s="1" t="s">
        <v>151</v>
      </c>
      <c r="B86" s="2">
        <v>99.78</v>
      </c>
      <c r="C86" s="2">
        <v>99.91</v>
      </c>
      <c r="D86" s="3" t="s">
        <v>1</v>
      </c>
      <c r="E86" s="3"/>
    </row>
    <row r="87" spans="1:5" ht="27" x14ac:dyDescent="0.35">
      <c r="A87" s="1" t="s">
        <v>152</v>
      </c>
      <c r="B87" s="2">
        <v>99.88</v>
      </c>
      <c r="C87" s="2"/>
      <c r="D87" s="3" t="s">
        <v>1</v>
      </c>
      <c r="E87" s="3"/>
    </row>
    <row r="88" spans="1:5" ht="27" x14ac:dyDescent="0.35">
      <c r="A88" s="1" t="s">
        <v>153</v>
      </c>
      <c r="B88" s="2">
        <v>100.06</v>
      </c>
      <c r="C88" s="2"/>
      <c r="D88" s="3" t="s">
        <v>1</v>
      </c>
      <c r="E88" s="3"/>
    </row>
    <row r="89" spans="1:5" ht="27" x14ac:dyDescent="0.35">
      <c r="A89" s="1" t="s">
        <v>154</v>
      </c>
      <c r="B89" s="2">
        <v>100.12</v>
      </c>
      <c r="C89" s="2">
        <v>99.79</v>
      </c>
      <c r="D89" s="3" t="s">
        <v>1</v>
      </c>
      <c r="E89" s="3"/>
    </row>
    <row r="90" spans="1:5" ht="27" x14ac:dyDescent="0.35">
      <c r="A90" s="1" t="s">
        <v>155</v>
      </c>
      <c r="B90" s="2">
        <v>99.68</v>
      </c>
      <c r="C90" s="2"/>
      <c r="D90" s="3" t="s">
        <v>1</v>
      </c>
      <c r="E90" s="3"/>
    </row>
    <row r="91" spans="1:5" ht="27" x14ac:dyDescent="0.35">
      <c r="A91" s="1" t="s">
        <v>156</v>
      </c>
      <c r="B91" s="2">
        <v>99.57</v>
      </c>
      <c r="C91" s="2"/>
      <c r="D91" s="3" t="s">
        <v>1</v>
      </c>
      <c r="E91" s="3"/>
    </row>
    <row r="92" spans="1:5" ht="27" x14ac:dyDescent="0.35">
      <c r="A92" s="1" t="s">
        <v>157</v>
      </c>
      <c r="B92" s="2">
        <v>100.22</v>
      </c>
      <c r="C92" s="2">
        <v>100.18</v>
      </c>
      <c r="D92" s="3" t="s">
        <v>1</v>
      </c>
      <c r="E92" s="3"/>
    </row>
    <row r="93" spans="1:5" ht="27" x14ac:dyDescent="0.35">
      <c r="A93" s="1" t="s">
        <v>158</v>
      </c>
      <c r="B93" s="2">
        <v>100.11</v>
      </c>
      <c r="C93" s="2"/>
      <c r="D93" s="3" t="s">
        <v>1</v>
      </c>
      <c r="E93" s="3"/>
    </row>
    <row r="94" spans="1:5" ht="27" x14ac:dyDescent="0.35">
      <c r="A94" s="1" t="s">
        <v>159</v>
      </c>
      <c r="B94" s="2">
        <v>100.22</v>
      </c>
      <c r="C94" s="2"/>
      <c r="D94" s="3" t="s">
        <v>1</v>
      </c>
      <c r="E94" s="3"/>
    </row>
    <row r="95" spans="1:5" ht="27" x14ac:dyDescent="0.35">
      <c r="A95" s="1" t="s">
        <v>160</v>
      </c>
      <c r="B95" s="2">
        <v>100.07</v>
      </c>
      <c r="C95" s="2">
        <v>99.35</v>
      </c>
      <c r="D95" s="3" t="s">
        <v>1</v>
      </c>
      <c r="E95" s="3"/>
    </row>
    <row r="96" spans="1:5" ht="27" x14ac:dyDescent="0.35">
      <c r="A96" s="1" t="s">
        <v>161</v>
      </c>
      <c r="B96" s="2">
        <v>99.14</v>
      </c>
      <c r="C96" s="2"/>
      <c r="D96" s="3" t="s">
        <v>1</v>
      </c>
      <c r="E96" s="3"/>
    </row>
    <row r="97" spans="1:5" ht="27" x14ac:dyDescent="0.35">
      <c r="A97" s="1" t="s">
        <v>162</v>
      </c>
      <c r="B97" s="2">
        <v>98.83</v>
      </c>
      <c r="C97" s="2"/>
      <c r="D97" s="3" t="s">
        <v>1</v>
      </c>
      <c r="E97" s="3"/>
    </row>
    <row r="98" spans="1:5" ht="27" x14ac:dyDescent="0.35">
      <c r="A98" s="1" t="s">
        <v>163</v>
      </c>
      <c r="B98" s="2">
        <v>99.95</v>
      </c>
      <c r="C98" s="2">
        <v>99.74</v>
      </c>
      <c r="D98" s="3" t="s">
        <v>1</v>
      </c>
      <c r="E98" s="3"/>
    </row>
    <row r="99" spans="1:5" ht="27" x14ac:dyDescent="0.35">
      <c r="A99" s="1" t="s">
        <v>164</v>
      </c>
      <c r="B99" s="2">
        <v>99.6</v>
      </c>
      <c r="C99" s="2"/>
      <c r="D99" s="3" t="s">
        <v>1</v>
      </c>
      <c r="E99" s="3"/>
    </row>
    <row r="100" spans="1:5" ht="27" x14ac:dyDescent="0.35">
      <c r="A100" s="1" t="s">
        <v>165</v>
      </c>
      <c r="B100" s="2">
        <v>99.68</v>
      </c>
      <c r="C100" s="2"/>
      <c r="D100" s="3" t="s">
        <v>1</v>
      </c>
      <c r="E100" s="3"/>
    </row>
    <row r="101" spans="1:5" ht="27" x14ac:dyDescent="0.35">
      <c r="A101" s="1" t="s">
        <v>166</v>
      </c>
      <c r="B101" s="2">
        <v>99.8</v>
      </c>
      <c r="C101" s="2">
        <v>99.44</v>
      </c>
      <c r="D101" s="3" t="s">
        <v>1</v>
      </c>
      <c r="E101" s="3"/>
    </row>
    <row r="102" spans="1:5" ht="27" x14ac:dyDescent="0.35">
      <c r="A102" s="1" t="s">
        <v>167</v>
      </c>
      <c r="B102" s="2">
        <v>99.32</v>
      </c>
      <c r="C102" s="2"/>
      <c r="D102" s="3" t="s">
        <v>1</v>
      </c>
      <c r="E102" s="3"/>
    </row>
    <row r="103" spans="1:5" ht="27" x14ac:dyDescent="0.35">
      <c r="A103" s="1" t="s">
        <v>168</v>
      </c>
      <c r="B103" s="2">
        <v>99.2</v>
      </c>
      <c r="C103" s="2"/>
      <c r="D103" s="3" t="s">
        <v>1</v>
      </c>
      <c r="E103" s="3"/>
    </row>
    <row r="104" spans="1:5" ht="27" x14ac:dyDescent="0.35">
      <c r="A104" s="1" t="s">
        <v>169</v>
      </c>
      <c r="B104" s="2">
        <v>99.73</v>
      </c>
      <c r="C104" s="2">
        <v>99.62</v>
      </c>
      <c r="D104" s="3" t="s">
        <v>1</v>
      </c>
      <c r="E104" s="3"/>
    </row>
    <row r="105" spans="1:5" ht="27" x14ac:dyDescent="0.35">
      <c r="A105" s="1" t="s">
        <v>170</v>
      </c>
      <c r="B105" s="2">
        <v>99.62</v>
      </c>
      <c r="C105" s="2"/>
      <c r="D105" s="3" t="s">
        <v>1</v>
      </c>
      <c r="E105" s="3"/>
    </row>
    <row r="106" spans="1:5" ht="27" x14ac:dyDescent="0.35">
      <c r="A106" s="1" t="s">
        <v>171</v>
      </c>
      <c r="B106" s="2">
        <v>99.51</v>
      </c>
      <c r="C106" s="2"/>
      <c r="D106" s="3" t="s">
        <v>1</v>
      </c>
      <c r="E106" s="3"/>
    </row>
    <row r="107" spans="1:5" ht="27" x14ac:dyDescent="0.35">
      <c r="A107" s="1" t="s">
        <v>172</v>
      </c>
      <c r="B107" s="2">
        <v>99.6</v>
      </c>
      <c r="C107" s="2">
        <v>98.71</v>
      </c>
      <c r="D107" s="3" t="s">
        <v>1</v>
      </c>
      <c r="E107" s="3"/>
    </row>
    <row r="108" spans="1:5" ht="27" x14ac:dyDescent="0.35">
      <c r="A108" s="1" t="s">
        <v>173</v>
      </c>
      <c r="B108" s="2">
        <v>98.44</v>
      </c>
      <c r="C108" s="2"/>
      <c r="D108" s="3" t="s">
        <v>1</v>
      </c>
      <c r="E108" s="3"/>
    </row>
    <row r="109" spans="1:5" ht="27" x14ac:dyDescent="0.35">
      <c r="A109" s="1" t="s">
        <v>174</v>
      </c>
      <c r="B109" s="2">
        <v>98.08</v>
      </c>
      <c r="C109" s="2"/>
      <c r="D109" s="3" t="s">
        <v>1</v>
      </c>
      <c r="E109" s="3"/>
    </row>
    <row r="110" spans="1:5" ht="27" x14ac:dyDescent="0.35">
      <c r="A110" s="1" t="s">
        <v>175</v>
      </c>
      <c r="B110" s="2">
        <v>99.11</v>
      </c>
      <c r="C110" s="2">
        <v>98.94</v>
      </c>
      <c r="D110" s="3" t="s">
        <v>1</v>
      </c>
      <c r="E110" s="3"/>
    </row>
    <row r="111" spans="1:5" ht="27" x14ac:dyDescent="0.35">
      <c r="A111" s="1" t="s">
        <v>176</v>
      </c>
      <c r="B111" s="2">
        <v>98.76</v>
      </c>
      <c r="C111" s="2"/>
      <c r="D111" s="3" t="s">
        <v>1</v>
      </c>
      <c r="E111" s="3"/>
    </row>
    <row r="112" spans="1:5" ht="27" x14ac:dyDescent="0.35">
      <c r="A112" s="1" t="s">
        <v>177</v>
      </c>
      <c r="B112" s="2">
        <v>98.95</v>
      </c>
      <c r="C112" s="2"/>
      <c r="D112" s="3" t="s">
        <v>1</v>
      </c>
      <c r="E112" s="3"/>
    </row>
    <row r="113" spans="1:5" ht="27" x14ac:dyDescent="0.35">
      <c r="A113" s="1" t="s">
        <v>178</v>
      </c>
      <c r="B113" s="2">
        <v>98.72</v>
      </c>
      <c r="C113" s="2">
        <v>98.12</v>
      </c>
      <c r="D113" s="3" t="s">
        <v>1</v>
      </c>
      <c r="E113" s="3"/>
    </row>
    <row r="114" spans="1:5" ht="27" x14ac:dyDescent="0.35">
      <c r="A114" s="1" t="s">
        <v>179</v>
      </c>
      <c r="B114" s="2">
        <v>98.01</v>
      </c>
      <c r="C114" s="2"/>
      <c r="D114" s="3" t="s">
        <v>1</v>
      </c>
      <c r="E114" s="3"/>
    </row>
    <row r="115" spans="1:5" ht="27" x14ac:dyDescent="0.35">
      <c r="A115" s="1" t="s">
        <v>180</v>
      </c>
      <c r="B115" s="2">
        <v>97.63</v>
      </c>
      <c r="C115" s="2"/>
      <c r="D115" s="3" t="s">
        <v>1</v>
      </c>
      <c r="E115" s="3"/>
    </row>
    <row r="116" spans="1:5" ht="27" x14ac:dyDescent="0.35">
      <c r="A116" s="1" t="s">
        <v>181</v>
      </c>
      <c r="B116" s="2">
        <v>98.15</v>
      </c>
      <c r="C116" s="2">
        <v>98.24</v>
      </c>
      <c r="D116" s="3" t="s">
        <v>1</v>
      </c>
      <c r="E116" s="3"/>
    </row>
    <row r="117" spans="1:5" ht="27" x14ac:dyDescent="0.35">
      <c r="A117" s="1" t="s">
        <v>182</v>
      </c>
      <c r="B117" s="2">
        <v>98.22</v>
      </c>
      <c r="C117" s="2"/>
      <c r="D117" s="3" t="s">
        <v>1</v>
      </c>
      <c r="E117" s="3"/>
    </row>
    <row r="118" spans="1:5" ht="27" x14ac:dyDescent="0.35">
      <c r="A118" s="1" t="s">
        <v>183</v>
      </c>
      <c r="B118" s="2">
        <v>98.36</v>
      </c>
      <c r="C118" s="2"/>
      <c r="D118" s="3" t="s">
        <v>1</v>
      </c>
      <c r="E118" s="3"/>
    </row>
    <row r="119" spans="1:5" ht="27" x14ac:dyDescent="0.35">
      <c r="A119" s="1" t="s">
        <v>184</v>
      </c>
      <c r="B119" s="2">
        <v>97.9</v>
      </c>
      <c r="C119" s="2">
        <v>96.91</v>
      </c>
      <c r="D119" s="3" t="s">
        <v>1</v>
      </c>
      <c r="E119" s="3"/>
    </row>
    <row r="120" spans="1:5" ht="27" x14ac:dyDescent="0.35">
      <c r="A120" s="1" t="s">
        <v>185</v>
      </c>
      <c r="B120" s="2">
        <v>96.65</v>
      </c>
      <c r="C120" s="2"/>
      <c r="D120" s="3" t="s">
        <v>1</v>
      </c>
      <c r="E120" s="3"/>
    </row>
    <row r="121" spans="1:5" ht="135" x14ac:dyDescent="0.35">
      <c r="A121" s="1" t="s">
        <v>186</v>
      </c>
      <c r="B121" s="2">
        <v>96.17</v>
      </c>
      <c r="C121" s="2"/>
      <c r="D121" s="3" t="s">
        <v>1</v>
      </c>
      <c r="E121" s="3" t="s">
        <v>409</v>
      </c>
    </row>
    <row r="122" spans="1:5" ht="27" x14ac:dyDescent="0.35">
      <c r="A122" s="1" t="s">
        <v>187</v>
      </c>
      <c r="B122" s="2">
        <v>96.96</v>
      </c>
      <c r="C122" s="2">
        <v>96.71</v>
      </c>
      <c r="D122" s="3" t="s">
        <v>1</v>
      </c>
      <c r="E122" s="3"/>
    </row>
    <row r="123" spans="1:5" ht="27" x14ac:dyDescent="0.35">
      <c r="A123" s="1" t="s">
        <v>188</v>
      </c>
      <c r="B123" s="2">
        <v>96.63</v>
      </c>
      <c r="C123" s="2"/>
      <c r="D123" s="3" t="s">
        <v>1</v>
      </c>
      <c r="E123" s="3"/>
    </row>
    <row r="124" spans="1:5" ht="27" x14ac:dyDescent="0.35">
      <c r="A124" s="1" t="s">
        <v>189</v>
      </c>
      <c r="B124" s="2">
        <v>96.55</v>
      </c>
      <c r="C124" s="2"/>
      <c r="D124" s="3" t="s">
        <v>1</v>
      </c>
      <c r="E124" s="3"/>
    </row>
    <row r="125" spans="1:5" ht="135" x14ac:dyDescent="0.35">
      <c r="A125" s="1" t="s">
        <v>190</v>
      </c>
      <c r="B125" s="2">
        <v>96.21</v>
      </c>
      <c r="C125" s="2">
        <v>95.68</v>
      </c>
      <c r="D125" s="3" t="s">
        <v>1</v>
      </c>
      <c r="E125" s="3" t="s">
        <v>410</v>
      </c>
    </row>
    <row r="126" spans="1:5" ht="27" x14ac:dyDescent="0.35">
      <c r="A126" s="1" t="s">
        <v>191</v>
      </c>
      <c r="B126" s="2">
        <v>95.51</v>
      </c>
      <c r="C126" s="2"/>
      <c r="D126" s="3" t="s">
        <v>1</v>
      </c>
      <c r="E126" s="3"/>
    </row>
    <row r="127" spans="1:5" ht="27" x14ac:dyDescent="0.35">
      <c r="A127" s="1" t="s">
        <v>192</v>
      </c>
      <c r="B127" s="2">
        <v>95.33</v>
      </c>
      <c r="C127" s="2"/>
      <c r="D127" s="3" t="s">
        <v>1</v>
      </c>
      <c r="E127" s="3"/>
    </row>
    <row r="128" spans="1:5" ht="27" x14ac:dyDescent="0.35">
      <c r="A128" s="1" t="s">
        <v>193</v>
      </c>
      <c r="B128" s="2">
        <v>95.88</v>
      </c>
      <c r="C128" s="2">
        <v>95.88</v>
      </c>
      <c r="D128" s="3" t="s">
        <v>1</v>
      </c>
      <c r="E128" s="3"/>
    </row>
    <row r="129" spans="1:5" ht="27" x14ac:dyDescent="0.35">
      <c r="A129" s="1" t="s">
        <v>194</v>
      </c>
      <c r="B129" s="2">
        <v>95.89</v>
      </c>
      <c r="C129" s="2"/>
      <c r="D129" s="3" t="s">
        <v>1</v>
      </c>
      <c r="E129" s="3"/>
    </row>
    <row r="130" spans="1:5" ht="27" x14ac:dyDescent="0.35">
      <c r="A130" s="1" t="s">
        <v>195</v>
      </c>
      <c r="B130" s="2">
        <v>95.88</v>
      </c>
      <c r="C130" s="2"/>
      <c r="D130" s="3" t="s">
        <v>1</v>
      </c>
      <c r="E130" s="3"/>
    </row>
    <row r="131" spans="1:5" ht="27" x14ac:dyDescent="0.35">
      <c r="A131" s="1" t="s">
        <v>196</v>
      </c>
      <c r="B131" s="2">
        <v>95.35</v>
      </c>
      <c r="C131" s="2">
        <v>94.37</v>
      </c>
      <c r="D131" s="3" t="s">
        <v>1</v>
      </c>
      <c r="E131" s="3"/>
    </row>
    <row r="132" spans="1:5" ht="27" x14ac:dyDescent="0.35">
      <c r="A132" s="1" t="s">
        <v>197</v>
      </c>
      <c r="B132" s="2">
        <v>94.08</v>
      </c>
      <c r="C132" s="2"/>
      <c r="D132" s="3" t="s">
        <v>1</v>
      </c>
      <c r="E132" s="3"/>
    </row>
    <row r="133" spans="1:5" ht="351" x14ac:dyDescent="0.35">
      <c r="A133" s="1" t="s">
        <v>198</v>
      </c>
      <c r="B133" s="2">
        <v>93.68</v>
      </c>
      <c r="C133" s="2"/>
      <c r="D133" s="3" t="s">
        <v>1</v>
      </c>
      <c r="E133" s="3" t="s">
        <v>411</v>
      </c>
    </row>
    <row r="134" spans="1:5" ht="27" x14ac:dyDescent="0.35">
      <c r="A134" s="1" t="s">
        <v>199</v>
      </c>
      <c r="B134" s="2">
        <v>94.36</v>
      </c>
      <c r="C134" s="2">
        <v>93.95</v>
      </c>
      <c r="D134" s="3" t="s">
        <v>1</v>
      </c>
      <c r="E134" s="3"/>
    </row>
    <row r="135" spans="1:5" ht="27" x14ac:dyDescent="0.35">
      <c r="A135" s="1" t="s">
        <v>200</v>
      </c>
      <c r="B135" s="2">
        <v>93.79</v>
      </c>
      <c r="C135" s="2"/>
      <c r="D135" s="3" t="s">
        <v>1</v>
      </c>
      <c r="E135" s="3"/>
    </row>
    <row r="136" spans="1:5" ht="27" x14ac:dyDescent="0.35">
      <c r="A136" s="1" t="s">
        <v>201</v>
      </c>
      <c r="B136" s="2">
        <v>93.71</v>
      </c>
      <c r="C136" s="2"/>
      <c r="D136" s="3" t="s">
        <v>1</v>
      </c>
      <c r="E136" s="3"/>
    </row>
    <row r="137" spans="1:5" ht="27" x14ac:dyDescent="0.35">
      <c r="A137" s="1" t="s">
        <v>202</v>
      </c>
      <c r="B137" s="2">
        <v>93.43</v>
      </c>
      <c r="C137" s="2">
        <v>93.17</v>
      </c>
      <c r="D137" s="3" t="s">
        <v>1</v>
      </c>
      <c r="E137" s="3"/>
    </row>
    <row r="138" spans="1:5" ht="27" x14ac:dyDescent="0.35">
      <c r="A138" s="1" t="s">
        <v>203</v>
      </c>
      <c r="B138" s="2">
        <v>93.14</v>
      </c>
      <c r="C138" s="2"/>
      <c r="D138" s="3" t="s">
        <v>1</v>
      </c>
      <c r="E138" s="3"/>
    </row>
    <row r="139" spans="1:5" ht="27" x14ac:dyDescent="0.35">
      <c r="A139" s="1" t="s">
        <v>204</v>
      </c>
      <c r="B139" s="2">
        <v>92.95</v>
      </c>
      <c r="C139" s="2"/>
      <c r="D139" s="3" t="s">
        <v>1</v>
      </c>
      <c r="E139" s="3"/>
    </row>
    <row r="140" spans="1:5" ht="27" x14ac:dyDescent="0.35">
      <c r="A140" s="1" t="s">
        <v>205</v>
      </c>
      <c r="B140" s="2">
        <v>93.35</v>
      </c>
      <c r="C140" s="2">
        <v>93.32</v>
      </c>
      <c r="D140" s="3" t="s">
        <v>1</v>
      </c>
      <c r="E140" s="3"/>
    </row>
    <row r="141" spans="1:5" ht="27" x14ac:dyDescent="0.35">
      <c r="A141" s="1" t="s">
        <v>206</v>
      </c>
      <c r="B141" s="2">
        <v>93.35</v>
      </c>
      <c r="C141" s="2"/>
      <c r="D141" s="3" t="s">
        <v>1</v>
      </c>
      <c r="E141" s="3"/>
    </row>
    <row r="142" spans="1:5" ht="27" x14ac:dyDescent="0.35">
      <c r="A142" s="1" t="s">
        <v>207</v>
      </c>
      <c r="B142" s="2">
        <v>93.25</v>
      </c>
      <c r="C142" s="2"/>
      <c r="D142" s="3" t="s">
        <v>1</v>
      </c>
      <c r="E142" s="3"/>
    </row>
    <row r="143" spans="1:5" ht="27" x14ac:dyDescent="0.35">
      <c r="A143" s="1" t="s">
        <v>208</v>
      </c>
      <c r="B143" s="2">
        <v>92.87</v>
      </c>
      <c r="C143" s="2">
        <v>92.1</v>
      </c>
      <c r="D143" s="3" t="s">
        <v>1</v>
      </c>
      <c r="E143" s="3"/>
    </row>
    <row r="144" spans="1:5" ht="27" x14ac:dyDescent="0.35">
      <c r="A144" s="1" t="s">
        <v>209</v>
      </c>
      <c r="B144" s="2">
        <v>91.85</v>
      </c>
      <c r="C144" s="2"/>
      <c r="D144" s="3" t="s">
        <v>1</v>
      </c>
      <c r="E144" s="3"/>
    </row>
    <row r="145" spans="1:5" ht="297" x14ac:dyDescent="0.35">
      <c r="A145" s="1" t="s">
        <v>210</v>
      </c>
      <c r="B145" s="2">
        <v>91.57</v>
      </c>
      <c r="C145" s="2"/>
      <c r="D145" s="3" t="s">
        <v>1</v>
      </c>
      <c r="E145" s="3" t="s">
        <v>412</v>
      </c>
    </row>
    <row r="146" spans="1:5" ht="27" x14ac:dyDescent="0.35">
      <c r="A146" s="1" t="s">
        <v>211</v>
      </c>
      <c r="B146" s="2">
        <v>92.32</v>
      </c>
      <c r="C146" s="2">
        <v>92.09</v>
      </c>
      <c r="D146" s="3" t="s">
        <v>1</v>
      </c>
      <c r="E146" s="3"/>
    </row>
    <row r="147" spans="1:5" ht="27" x14ac:dyDescent="0.35">
      <c r="A147" s="1" t="s">
        <v>212</v>
      </c>
      <c r="B147" s="2">
        <v>92.03</v>
      </c>
      <c r="C147" s="2"/>
      <c r="D147" s="3" t="s">
        <v>1</v>
      </c>
      <c r="E147" s="3"/>
    </row>
    <row r="148" spans="1:5" ht="27" x14ac:dyDescent="0.35">
      <c r="A148" s="1" t="s">
        <v>213</v>
      </c>
      <c r="B148" s="2">
        <v>91.92</v>
      </c>
      <c r="C148" s="2"/>
      <c r="D148" s="3" t="s">
        <v>1</v>
      </c>
      <c r="E148" s="3"/>
    </row>
    <row r="149" spans="1:5" ht="27" x14ac:dyDescent="0.35">
      <c r="A149" s="1" t="s">
        <v>214</v>
      </c>
      <c r="B149" s="2">
        <v>91.71</v>
      </c>
      <c r="C149" s="2">
        <v>91.59</v>
      </c>
      <c r="D149" s="3" t="s">
        <v>1</v>
      </c>
      <c r="E149" s="3"/>
    </row>
    <row r="150" spans="1:5" ht="27" x14ac:dyDescent="0.35">
      <c r="A150" s="1" t="s">
        <v>215</v>
      </c>
      <c r="B150" s="2">
        <v>91.69</v>
      </c>
      <c r="C150" s="2"/>
      <c r="D150" s="3" t="s">
        <v>1</v>
      </c>
      <c r="E150" s="3"/>
    </row>
    <row r="151" spans="1:5" ht="27" x14ac:dyDescent="0.35">
      <c r="A151" s="1" t="s">
        <v>216</v>
      </c>
      <c r="B151" s="2">
        <v>91.38</v>
      </c>
      <c r="C151" s="2"/>
      <c r="D151" s="3" t="s">
        <v>1</v>
      </c>
      <c r="E151" s="3"/>
    </row>
    <row r="152" spans="1:5" ht="27" x14ac:dyDescent="0.35">
      <c r="A152" s="1" t="s">
        <v>217</v>
      </c>
      <c r="B152" s="2">
        <v>91.98</v>
      </c>
      <c r="C152" s="2">
        <v>91.84</v>
      </c>
      <c r="D152" s="3" t="s">
        <v>1</v>
      </c>
      <c r="E152" s="3"/>
    </row>
    <row r="153" spans="1:5" ht="27" x14ac:dyDescent="0.35">
      <c r="A153" s="1" t="s">
        <v>218</v>
      </c>
      <c r="B153" s="2">
        <v>91.8</v>
      </c>
      <c r="C153" s="2"/>
      <c r="D153" s="3" t="s">
        <v>1</v>
      </c>
      <c r="E153" s="3"/>
    </row>
    <row r="154" spans="1:5" ht="27" x14ac:dyDescent="0.35">
      <c r="A154" s="1" t="s">
        <v>219</v>
      </c>
      <c r="B154" s="2">
        <v>91.75</v>
      </c>
      <c r="C154" s="2"/>
      <c r="D154" s="3" t="s">
        <v>1</v>
      </c>
      <c r="E154" s="3"/>
    </row>
    <row r="155" spans="1:5" ht="27" x14ac:dyDescent="0.35">
      <c r="A155" s="1" t="s">
        <v>220</v>
      </c>
      <c r="B155" s="2">
        <v>91.42</v>
      </c>
      <c r="C155" s="2">
        <v>91.07</v>
      </c>
      <c r="D155" s="3" t="s">
        <v>1</v>
      </c>
      <c r="E155" s="3"/>
    </row>
    <row r="156" spans="1:5" ht="27" x14ac:dyDescent="0.35">
      <c r="A156" s="1" t="s">
        <v>221</v>
      </c>
      <c r="B156" s="2">
        <v>91.08</v>
      </c>
      <c r="C156" s="2"/>
      <c r="D156" s="3" t="s">
        <v>1</v>
      </c>
      <c r="E156" s="3"/>
    </row>
    <row r="157" spans="1:5" ht="27" x14ac:dyDescent="0.35">
      <c r="A157" s="1" t="s">
        <v>222</v>
      </c>
      <c r="B157" s="2">
        <v>90.71</v>
      </c>
      <c r="C157" s="2"/>
      <c r="D157" s="3" t="s">
        <v>1</v>
      </c>
      <c r="E157" s="3"/>
    </row>
    <row r="158" spans="1:5" ht="27" x14ac:dyDescent="0.35">
      <c r="A158" s="1" t="s">
        <v>223</v>
      </c>
      <c r="B158" s="2">
        <v>91.47</v>
      </c>
      <c r="C158" s="2">
        <v>91.7</v>
      </c>
      <c r="D158" s="3" t="s">
        <v>1</v>
      </c>
      <c r="E158" s="3"/>
    </row>
    <row r="159" spans="1:5" ht="27" x14ac:dyDescent="0.35">
      <c r="A159" s="1" t="s">
        <v>224</v>
      </c>
      <c r="B159" s="2">
        <v>91.59</v>
      </c>
      <c r="C159" s="2"/>
      <c r="D159" s="3" t="s">
        <v>1</v>
      </c>
      <c r="E159" s="3"/>
    </row>
    <row r="160" spans="1:5" ht="27" x14ac:dyDescent="0.35">
      <c r="A160" s="1" t="s">
        <v>225</v>
      </c>
      <c r="B160" s="2">
        <v>92.04</v>
      </c>
      <c r="C160" s="2"/>
      <c r="D160" s="3" t="s">
        <v>1</v>
      </c>
      <c r="E160" s="3"/>
    </row>
    <row r="161" spans="1:5" ht="27" x14ac:dyDescent="0.35">
      <c r="A161" s="1" t="s">
        <v>226</v>
      </c>
      <c r="B161" s="2">
        <v>92.01</v>
      </c>
      <c r="C161" s="2">
        <v>91.94</v>
      </c>
      <c r="D161" s="3" t="s">
        <v>1</v>
      </c>
      <c r="E161" s="3"/>
    </row>
    <row r="162" spans="1:5" ht="27" x14ac:dyDescent="0.35">
      <c r="A162" s="1" t="s">
        <v>227</v>
      </c>
      <c r="B162" s="2">
        <v>91.84</v>
      </c>
      <c r="C162" s="2"/>
      <c r="D162" s="3" t="s">
        <v>1</v>
      </c>
      <c r="E162" s="3"/>
    </row>
    <row r="163" spans="1:5" ht="27" x14ac:dyDescent="0.35">
      <c r="A163" s="1" t="s">
        <v>228</v>
      </c>
      <c r="B163" s="2">
        <v>91.97</v>
      </c>
      <c r="C163" s="2"/>
      <c r="D163" s="3" t="s">
        <v>1</v>
      </c>
      <c r="E163" s="3"/>
    </row>
    <row r="164" spans="1:5" ht="27" x14ac:dyDescent="0.35">
      <c r="A164" s="1" t="s">
        <v>229</v>
      </c>
      <c r="B164" s="2">
        <v>92.11</v>
      </c>
      <c r="C164" s="2">
        <v>91.69</v>
      </c>
      <c r="D164" s="3" t="s">
        <v>1</v>
      </c>
      <c r="E164" s="3"/>
    </row>
    <row r="165" spans="1:5" ht="27" x14ac:dyDescent="0.35">
      <c r="A165" s="1" t="s">
        <v>230</v>
      </c>
      <c r="B165" s="2">
        <v>91.76</v>
      </c>
      <c r="C165" s="2"/>
      <c r="D165" s="3" t="s">
        <v>1</v>
      </c>
      <c r="E165" s="3"/>
    </row>
    <row r="166" spans="1:5" ht="27" x14ac:dyDescent="0.35">
      <c r="A166" s="1" t="s">
        <v>231</v>
      </c>
      <c r="B166" s="2">
        <v>91.19</v>
      </c>
      <c r="C166" s="2"/>
      <c r="D166" s="3" t="s">
        <v>1</v>
      </c>
      <c r="E166" s="3"/>
    </row>
    <row r="167" spans="1:5" ht="27" x14ac:dyDescent="0.35">
      <c r="A167" s="1" t="s">
        <v>232</v>
      </c>
      <c r="B167" s="2">
        <v>90.9</v>
      </c>
      <c r="C167" s="2">
        <v>90.21</v>
      </c>
      <c r="D167" s="3" t="s">
        <v>1</v>
      </c>
      <c r="E167" s="3"/>
    </row>
    <row r="168" spans="1:5" ht="27" x14ac:dyDescent="0.35">
      <c r="A168" s="1" t="s">
        <v>233</v>
      </c>
      <c r="B168" s="2">
        <v>90.02</v>
      </c>
      <c r="C168" s="2"/>
      <c r="D168" s="3" t="s">
        <v>1</v>
      </c>
      <c r="E168" s="3"/>
    </row>
    <row r="169" spans="1:5" ht="229.5" x14ac:dyDescent="0.35">
      <c r="A169" s="1" t="s">
        <v>234</v>
      </c>
      <c r="B169" s="2">
        <v>89.7</v>
      </c>
      <c r="C169" s="2"/>
      <c r="D169" s="3" t="s">
        <v>1</v>
      </c>
      <c r="E169" s="3" t="s">
        <v>413</v>
      </c>
    </row>
    <row r="170" spans="1:5" ht="27" x14ac:dyDescent="0.35">
      <c r="A170" s="1" t="s">
        <v>235</v>
      </c>
      <c r="B170" s="2">
        <v>90.05</v>
      </c>
      <c r="C170" s="2">
        <v>89.65</v>
      </c>
      <c r="D170" s="3" t="s">
        <v>1</v>
      </c>
      <c r="E170" s="3"/>
    </row>
    <row r="171" spans="1:5" ht="27" x14ac:dyDescent="0.35">
      <c r="A171" s="1" t="s">
        <v>236</v>
      </c>
      <c r="B171" s="2">
        <v>89.69</v>
      </c>
      <c r="C171" s="2"/>
      <c r="D171" s="3" t="s">
        <v>1</v>
      </c>
      <c r="E171" s="3"/>
    </row>
    <row r="172" spans="1:5" ht="27" x14ac:dyDescent="0.35">
      <c r="A172" s="1" t="s">
        <v>237</v>
      </c>
      <c r="B172" s="2">
        <v>89.21</v>
      </c>
      <c r="C172" s="2"/>
      <c r="D172" s="3" t="s">
        <v>1</v>
      </c>
      <c r="E172" s="3"/>
    </row>
    <row r="173" spans="1:5" ht="27" x14ac:dyDescent="0.35">
      <c r="A173" s="1" t="s">
        <v>238</v>
      </c>
      <c r="B173" s="2">
        <v>88.78</v>
      </c>
      <c r="C173" s="2">
        <v>88.54</v>
      </c>
      <c r="D173" s="3" t="s">
        <v>1</v>
      </c>
      <c r="E173" s="3"/>
    </row>
    <row r="174" spans="1:5" ht="27" x14ac:dyDescent="0.35">
      <c r="A174" s="1" t="s">
        <v>239</v>
      </c>
      <c r="B174" s="2">
        <v>88.45</v>
      </c>
      <c r="C174" s="2"/>
      <c r="D174" s="3" t="s">
        <v>1</v>
      </c>
      <c r="E174" s="3"/>
    </row>
    <row r="175" spans="1:5" ht="27" x14ac:dyDescent="0.35">
      <c r="A175" s="1" t="s">
        <v>240</v>
      </c>
      <c r="B175" s="2">
        <v>88.39</v>
      </c>
      <c r="C175" s="2"/>
      <c r="D175" s="3" t="s">
        <v>1</v>
      </c>
      <c r="E175" s="3"/>
    </row>
    <row r="176" spans="1:5" ht="27" x14ac:dyDescent="0.35">
      <c r="A176" s="1" t="s">
        <v>241</v>
      </c>
      <c r="B176" s="2">
        <v>88.61</v>
      </c>
      <c r="C176" s="2">
        <v>88.48</v>
      </c>
      <c r="D176" s="3" t="s">
        <v>1</v>
      </c>
      <c r="E176" s="3"/>
    </row>
    <row r="177" spans="1:5" ht="27" x14ac:dyDescent="0.35">
      <c r="A177" s="1" t="s">
        <v>242</v>
      </c>
      <c r="B177" s="2">
        <v>88.52</v>
      </c>
      <c r="C177" s="2"/>
      <c r="D177" s="3" t="s">
        <v>1</v>
      </c>
      <c r="E177" s="3"/>
    </row>
    <row r="178" spans="1:5" ht="27" x14ac:dyDescent="0.35">
      <c r="A178" s="1" t="s">
        <v>243</v>
      </c>
      <c r="B178" s="2">
        <v>88.31</v>
      </c>
      <c r="C178" s="2"/>
      <c r="D178" s="3" t="s">
        <v>1</v>
      </c>
      <c r="E178" s="3"/>
    </row>
    <row r="179" spans="1:5" ht="27" x14ac:dyDescent="0.35">
      <c r="A179" s="1" t="s">
        <v>244</v>
      </c>
      <c r="B179" s="2">
        <v>87.75</v>
      </c>
      <c r="C179" s="2">
        <v>87.28</v>
      </c>
      <c r="D179" s="3" t="s">
        <v>1</v>
      </c>
      <c r="E179" s="3"/>
    </row>
    <row r="180" spans="1:5" ht="27" x14ac:dyDescent="0.35">
      <c r="A180" s="1" t="s">
        <v>245</v>
      </c>
      <c r="B180" s="2">
        <v>87.17</v>
      </c>
      <c r="C180" s="2"/>
      <c r="D180" s="3" t="s">
        <v>1</v>
      </c>
      <c r="E180" s="3"/>
    </row>
    <row r="181" spans="1:5" ht="27" x14ac:dyDescent="0.35">
      <c r="A181" s="1" t="s">
        <v>246</v>
      </c>
      <c r="B181" s="2">
        <v>86.92</v>
      </c>
      <c r="C181" s="2"/>
      <c r="D181" s="3" t="s">
        <v>1</v>
      </c>
      <c r="E181" s="3"/>
    </row>
    <row r="182" spans="1:5" ht="27" x14ac:dyDescent="0.35">
      <c r="A182" s="1" t="s">
        <v>247</v>
      </c>
      <c r="B182" s="2">
        <v>87.37</v>
      </c>
      <c r="C182" s="2">
        <v>87.13</v>
      </c>
      <c r="D182" s="3" t="s">
        <v>1</v>
      </c>
      <c r="E182" s="3"/>
    </row>
    <row r="183" spans="1:5" ht="27" x14ac:dyDescent="0.35">
      <c r="A183" s="1" t="s">
        <v>248</v>
      </c>
      <c r="B183" s="2">
        <v>87.03</v>
      </c>
      <c r="C183" s="2"/>
      <c r="D183" s="3" t="s">
        <v>1</v>
      </c>
      <c r="E183" s="3"/>
    </row>
    <row r="184" spans="1:5" ht="243" x14ac:dyDescent="0.35">
      <c r="A184" s="1" t="s">
        <v>249</v>
      </c>
      <c r="B184" s="2">
        <v>87</v>
      </c>
      <c r="C184" s="2"/>
      <c r="D184" s="3" t="s">
        <v>1</v>
      </c>
      <c r="E184" s="3" t="s">
        <v>414</v>
      </c>
    </row>
    <row r="185" spans="1:5" ht="27" x14ac:dyDescent="0.35">
      <c r="A185" s="1" t="s">
        <v>250</v>
      </c>
      <c r="B185" s="2">
        <v>86.93</v>
      </c>
      <c r="C185" s="2">
        <v>86.9</v>
      </c>
      <c r="D185" s="3" t="s">
        <v>1</v>
      </c>
      <c r="E185" s="3"/>
    </row>
    <row r="186" spans="1:5" ht="27" x14ac:dyDescent="0.35">
      <c r="A186" s="1" t="s">
        <v>251</v>
      </c>
      <c r="B186" s="2">
        <v>86.93</v>
      </c>
      <c r="C186" s="2"/>
      <c r="D186" s="3" t="s">
        <v>1</v>
      </c>
      <c r="E186" s="3"/>
    </row>
    <row r="187" spans="1:5" ht="27" x14ac:dyDescent="0.35">
      <c r="A187" s="1" t="s">
        <v>252</v>
      </c>
      <c r="B187" s="2">
        <v>86.85</v>
      </c>
      <c r="C187" s="2"/>
      <c r="D187" s="3" t="s">
        <v>1</v>
      </c>
      <c r="E187" s="3"/>
    </row>
    <row r="188" spans="1:5" ht="27" x14ac:dyDescent="0.35">
      <c r="A188" s="1" t="s">
        <v>253</v>
      </c>
      <c r="B188" s="2">
        <v>86.96</v>
      </c>
      <c r="C188" s="2">
        <v>86.84</v>
      </c>
      <c r="D188" s="3" t="s">
        <v>1</v>
      </c>
      <c r="E188" s="3"/>
    </row>
    <row r="189" spans="1:5" ht="27" x14ac:dyDescent="0.35">
      <c r="A189" s="1" t="s">
        <v>254</v>
      </c>
      <c r="B189" s="2">
        <v>86.89</v>
      </c>
      <c r="C189" s="2"/>
      <c r="D189" s="3" t="s">
        <v>1</v>
      </c>
      <c r="E189" s="3"/>
    </row>
    <row r="190" spans="1:5" ht="27" x14ac:dyDescent="0.35">
      <c r="A190" s="1" t="s">
        <v>255</v>
      </c>
      <c r="B190" s="2">
        <v>86.66</v>
      </c>
      <c r="C190" s="2"/>
      <c r="D190" s="3" t="s">
        <v>1</v>
      </c>
      <c r="E190" s="3"/>
    </row>
    <row r="191" spans="1:5" ht="27" x14ac:dyDescent="0.35">
      <c r="A191" s="1" t="s">
        <v>256</v>
      </c>
      <c r="B191" s="2">
        <v>86.09</v>
      </c>
      <c r="C191" s="2">
        <v>85.68</v>
      </c>
      <c r="D191" s="3" t="s">
        <v>1</v>
      </c>
      <c r="E191" s="3"/>
    </row>
    <row r="192" spans="1:5" ht="27" x14ac:dyDescent="0.35">
      <c r="A192" s="1" t="s">
        <v>257</v>
      </c>
      <c r="B192" s="2">
        <v>85.59</v>
      </c>
      <c r="C192" s="2"/>
      <c r="D192" s="3" t="s">
        <v>1</v>
      </c>
      <c r="E192" s="3"/>
    </row>
    <row r="193" spans="1:5" ht="27" x14ac:dyDescent="0.35">
      <c r="A193" s="1" t="s">
        <v>258</v>
      </c>
      <c r="B193" s="2">
        <v>85.35</v>
      </c>
      <c r="C193" s="2"/>
      <c r="D193" s="3" t="s">
        <v>1</v>
      </c>
      <c r="E193" s="3"/>
    </row>
    <row r="194" spans="1:5" ht="27" x14ac:dyDescent="0.35">
      <c r="A194" s="1" t="s">
        <v>259</v>
      </c>
      <c r="B194" s="2">
        <v>85.74</v>
      </c>
      <c r="C194" s="2">
        <v>85.61</v>
      </c>
      <c r="D194" s="3" t="s">
        <v>1</v>
      </c>
      <c r="E194" s="3"/>
    </row>
    <row r="195" spans="1:5" ht="27" x14ac:dyDescent="0.35">
      <c r="A195" s="1" t="s">
        <v>260</v>
      </c>
      <c r="B195" s="2">
        <v>85.45</v>
      </c>
      <c r="C195" s="2"/>
      <c r="D195" s="3" t="s">
        <v>1</v>
      </c>
      <c r="E195" s="3"/>
    </row>
    <row r="196" spans="1:5" ht="27" x14ac:dyDescent="0.35">
      <c r="A196" s="1" t="s">
        <v>261</v>
      </c>
      <c r="B196" s="2">
        <v>85.64</v>
      </c>
      <c r="C196" s="2"/>
      <c r="D196" s="3" t="s">
        <v>1</v>
      </c>
      <c r="E196" s="3"/>
    </row>
    <row r="197" spans="1:5" ht="27" x14ac:dyDescent="0.35">
      <c r="A197" s="1" t="s">
        <v>262</v>
      </c>
      <c r="B197" s="2">
        <v>85.42</v>
      </c>
      <c r="C197" s="2">
        <v>85.06</v>
      </c>
      <c r="D197" s="3" t="s">
        <v>1</v>
      </c>
      <c r="E197" s="3"/>
    </row>
    <row r="198" spans="1:5" ht="27" x14ac:dyDescent="0.35">
      <c r="A198" s="1" t="s">
        <v>263</v>
      </c>
      <c r="B198" s="2">
        <v>84.98</v>
      </c>
      <c r="C198" s="2"/>
      <c r="D198" s="3" t="s">
        <v>1</v>
      </c>
      <c r="E198" s="3"/>
    </row>
    <row r="199" spans="1:5" ht="27" x14ac:dyDescent="0.35">
      <c r="A199" s="1" t="s">
        <v>264</v>
      </c>
      <c r="B199" s="2">
        <v>84.78</v>
      </c>
      <c r="C199" s="2"/>
      <c r="D199" s="3" t="s">
        <v>1</v>
      </c>
      <c r="E199" s="3"/>
    </row>
    <row r="200" spans="1:5" ht="27" x14ac:dyDescent="0.35">
      <c r="A200" s="1" t="s">
        <v>265</v>
      </c>
      <c r="B200" s="2">
        <v>84.87</v>
      </c>
      <c r="C200" s="2">
        <v>84.75</v>
      </c>
      <c r="D200" s="3" t="s">
        <v>1</v>
      </c>
      <c r="E200" s="3"/>
    </row>
    <row r="201" spans="1:5" ht="27" x14ac:dyDescent="0.35">
      <c r="A201" s="1" t="s">
        <v>266</v>
      </c>
      <c r="B201" s="2">
        <v>84.78</v>
      </c>
      <c r="C201" s="2"/>
      <c r="D201" s="3" t="s">
        <v>1</v>
      </c>
      <c r="E201" s="3"/>
    </row>
    <row r="202" spans="1:5" ht="27" x14ac:dyDescent="0.35">
      <c r="A202" s="1" t="s">
        <v>267</v>
      </c>
      <c r="B202" s="2">
        <v>84.6</v>
      </c>
      <c r="C202" s="2"/>
      <c r="D202" s="3" t="s">
        <v>1</v>
      </c>
      <c r="E202" s="3"/>
    </row>
    <row r="203" spans="1:5" ht="27" x14ac:dyDescent="0.35">
      <c r="A203" s="1" t="s">
        <v>268</v>
      </c>
      <c r="B203" s="2">
        <v>84.25</v>
      </c>
      <c r="C203" s="2">
        <v>83.73</v>
      </c>
      <c r="D203" s="3" t="s">
        <v>1</v>
      </c>
      <c r="E203" s="3"/>
    </row>
    <row r="204" spans="1:5" ht="27" x14ac:dyDescent="0.35">
      <c r="A204" s="1" t="s">
        <v>269</v>
      </c>
      <c r="B204" s="2">
        <v>83.62</v>
      </c>
      <c r="C204" s="2"/>
      <c r="D204" s="3" t="s">
        <v>1</v>
      </c>
      <c r="E204" s="3"/>
    </row>
    <row r="205" spans="1:5" ht="27" x14ac:dyDescent="0.35">
      <c r="A205" s="1" t="s">
        <v>270</v>
      </c>
      <c r="B205" s="2">
        <v>83.32</v>
      </c>
      <c r="C205" s="2"/>
      <c r="D205" s="3" t="s">
        <v>1</v>
      </c>
      <c r="E205" s="3"/>
    </row>
    <row r="206" spans="1:5" ht="27" x14ac:dyDescent="0.35">
      <c r="A206" s="1" t="s">
        <v>271</v>
      </c>
      <c r="B206" s="2">
        <v>83.85</v>
      </c>
      <c r="C206" s="2">
        <v>83.66</v>
      </c>
      <c r="D206" s="3" t="s">
        <v>1</v>
      </c>
      <c r="E206" s="3"/>
    </row>
    <row r="207" spans="1:5" ht="27" x14ac:dyDescent="0.35">
      <c r="A207" s="1" t="s">
        <v>272</v>
      </c>
      <c r="B207" s="2">
        <v>83.53</v>
      </c>
      <c r="C207" s="2"/>
      <c r="D207" s="3" t="s">
        <v>1</v>
      </c>
      <c r="E207" s="3"/>
    </row>
    <row r="208" spans="1:5" ht="27" x14ac:dyDescent="0.35">
      <c r="A208" s="1" t="s">
        <v>273</v>
      </c>
      <c r="B208" s="2">
        <v>83.59</v>
      </c>
      <c r="C208" s="2"/>
      <c r="D208" s="3" t="s">
        <v>1</v>
      </c>
      <c r="E208" s="3"/>
    </row>
    <row r="209" spans="1:5" ht="27" x14ac:dyDescent="0.35">
      <c r="A209" s="1" t="s">
        <v>274</v>
      </c>
      <c r="B209" s="2">
        <v>83.26</v>
      </c>
      <c r="C209" s="2">
        <v>83.14</v>
      </c>
      <c r="D209" s="3" t="s">
        <v>1</v>
      </c>
      <c r="E209" s="3"/>
    </row>
    <row r="210" spans="1:5" ht="27" x14ac:dyDescent="0.35">
      <c r="A210" s="1" t="s">
        <v>275</v>
      </c>
      <c r="B210" s="2">
        <v>83.17</v>
      </c>
      <c r="C210" s="2"/>
      <c r="D210" s="3" t="s">
        <v>1</v>
      </c>
      <c r="E210" s="3"/>
    </row>
    <row r="211" spans="1:5" ht="27" x14ac:dyDescent="0.35">
      <c r="A211" s="1" t="s">
        <v>276</v>
      </c>
      <c r="B211" s="2">
        <v>83</v>
      </c>
      <c r="C211" s="2"/>
      <c r="D211" s="3" t="s">
        <v>1</v>
      </c>
      <c r="E211" s="3"/>
    </row>
    <row r="212" spans="1:5" ht="27" x14ac:dyDescent="0.35">
      <c r="A212" s="1" t="s">
        <v>277</v>
      </c>
      <c r="B212" s="2">
        <v>83.18</v>
      </c>
      <c r="C212" s="2">
        <v>83.07</v>
      </c>
      <c r="D212" s="3" t="s">
        <v>1</v>
      </c>
      <c r="E212" s="3"/>
    </row>
    <row r="213" spans="1:5" ht="27" x14ac:dyDescent="0.35">
      <c r="A213" s="1" t="s">
        <v>278</v>
      </c>
      <c r="B213" s="2">
        <v>83.14</v>
      </c>
      <c r="C213" s="2"/>
      <c r="D213" s="3" t="s">
        <v>1</v>
      </c>
      <c r="E213" s="3"/>
    </row>
    <row r="214" spans="1:5" ht="27" x14ac:dyDescent="0.35">
      <c r="A214" s="1" t="s">
        <v>279</v>
      </c>
      <c r="B214" s="2">
        <v>82.88</v>
      </c>
      <c r="C214" s="2"/>
      <c r="D214" s="3" t="s">
        <v>1</v>
      </c>
      <c r="E214" s="3"/>
    </row>
    <row r="215" spans="1:5" ht="27" x14ac:dyDescent="0.35">
      <c r="A215" s="1" t="s">
        <v>280</v>
      </c>
      <c r="B215" s="2">
        <v>82.46</v>
      </c>
      <c r="C215" s="2">
        <v>82.05</v>
      </c>
      <c r="D215" s="3" t="s">
        <v>1</v>
      </c>
      <c r="E215" s="3"/>
    </row>
    <row r="216" spans="1:5" ht="27" x14ac:dyDescent="0.35">
      <c r="A216" s="1" t="s">
        <v>281</v>
      </c>
      <c r="B216" s="2">
        <v>81.94</v>
      </c>
      <c r="C216" s="2"/>
      <c r="D216" s="3" t="s">
        <v>1</v>
      </c>
      <c r="E216" s="3"/>
    </row>
    <row r="217" spans="1:5" ht="27" x14ac:dyDescent="0.35">
      <c r="A217" s="1" t="s">
        <v>282</v>
      </c>
      <c r="B217" s="2">
        <v>81.75</v>
      </c>
      <c r="C217" s="2"/>
      <c r="D217" s="3" t="s">
        <v>1</v>
      </c>
      <c r="E217" s="3"/>
    </row>
    <row r="218" spans="1:5" ht="27" x14ac:dyDescent="0.35">
      <c r="A218" s="1" t="s">
        <v>283</v>
      </c>
      <c r="B218" s="2">
        <v>81.95</v>
      </c>
      <c r="C218" s="2">
        <v>81.77</v>
      </c>
      <c r="D218" s="3" t="s">
        <v>1</v>
      </c>
      <c r="E218" s="3"/>
    </row>
    <row r="219" spans="1:5" ht="27" x14ac:dyDescent="0.35">
      <c r="A219" s="1" t="s">
        <v>284</v>
      </c>
      <c r="B219" s="2">
        <v>81.7</v>
      </c>
      <c r="C219" s="2"/>
      <c r="D219" s="3" t="s">
        <v>1</v>
      </c>
      <c r="E219" s="3"/>
    </row>
    <row r="220" spans="1:5" ht="27" x14ac:dyDescent="0.35">
      <c r="A220" s="1" t="s">
        <v>285</v>
      </c>
      <c r="B220" s="2">
        <v>81.66</v>
      </c>
      <c r="C220" s="2"/>
      <c r="D220" s="3" t="s">
        <v>1</v>
      </c>
      <c r="E220" s="3"/>
    </row>
    <row r="221" spans="1:5" ht="27" x14ac:dyDescent="0.35">
      <c r="A221" s="1" t="s">
        <v>286</v>
      </c>
      <c r="B221" s="2">
        <v>81.540000000000006</v>
      </c>
      <c r="C221" s="2">
        <v>81.31</v>
      </c>
      <c r="D221" s="3" t="s">
        <v>1</v>
      </c>
      <c r="E221" s="3"/>
    </row>
    <row r="222" spans="1:5" ht="27" x14ac:dyDescent="0.35">
      <c r="A222" s="1" t="s">
        <v>287</v>
      </c>
      <c r="B222" s="2">
        <v>81.25</v>
      </c>
      <c r="C222" s="2"/>
      <c r="D222" s="3" t="s">
        <v>1</v>
      </c>
      <c r="E222" s="3"/>
    </row>
    <row r="223" spans="1:5" ht="27" x14ac:dyDescent="0.35">
      <c r="A223" s="1" t="s">
        <v>288</v>
      </c>
      <c r="B223" s="2">
        <v>81.13</v>
      </c>
      <c r="C223" s="2"/>
      <c r="D223" s="3" t="s">
        <v>1</v>
      </c>
      <c r="E223" s="3"/>
    </row>
    <row r="224" spans="1:5" ht="27" x14ac:dyDescent="0.35">
      <c r="A224" s="1" t="s">
        <v>289</v>
      </c>
      <c r="B224" s="2">
        <v>81.25</v>
      </c>
      <c r="C224" s="2">
        <v>81.2</v>
      </c>
      <c r="D224" s="3" t="s">
        <v>1</v>
      </c>
      <c r="E224" s="3"/>
    </row>
    <row r="225" spans="1:5" ht="27" x14ac:dyDescent="0.35">
      <c r="A225" s="1" t="s">
        <v>290</v>
      </c>
      <c r="B225" s="2">
        <v>81.150000000000006</v>
      </c>
      <c r="C225" s="2"/>
      <c r="D225" s="3" t="s">
        <v>1</v>
      </c>
      <c r="E225" s="3"/>
    </row>
    <row r="226" spans="1:5" ht="27" x14ac:dyDescent="0.35">
      <c r="A226" s="1" t="s">
        <v>291</v>
      </c>
      <c r="B226" s="2">
        <v>81.209999999999994</v>
      </c>
      <c r="C226" s="2"/>
      <c r="D226" s="3" t="s">
        <v>1</v>
      </c>
      <c r="E226" s="3"/>
    </row>
    <row r="227" spans="1:5" ht="27" x14ac:dyDescent="0.35">
      <c r="A227" s="1" t="s">
        <v>292</v>
      </c>
      <c r="B227" s="2">
        <v>81.08</v>
      </c>
      <c r="C227" s="2">
        <v>80.67</v>
      </c>
      <c r="D227" s="3" t="s">
        <v>1</v>
      </c>
      <c r="E227" s="3"/>
    </row>
    <row r="228" spans="1:5" ht="27" x14ac:dyDescent="0.35">
      <c r="A228" s="1" t="s">
        <v>293</v>
      </c>
      <c r="B228" s="2">
        <v>80.62</v>
      </c>
      <c r="C228" s="2"/>
      <c r="D228" s="3" t="s">
        <v>1</v>
      </c>
      <c r="E228" s="3"/>
    </row>
    <row r="229" spans="1:5" ht="27" x14ac:dyDescent="0.35">
      <c r="A229" s="1" t="s">
        <v>294</v>
      </c>
      <c r="B229" s="2">
        <v>80.3</v>
      </c>
      <c r="C229" s="2"/>
      <c r="D229" s="3" t="s">
        <v>1</v>
      </c>
      <c r="E229" s="3"/>
    </row>
    <row r="230" spans="1:5" ht="27" x14ac:dyDescent="0.35">
      <c r="A230" s="1" t="s">
        <v>295</v>
      </c>
      <c r="B230" s="2">
        <v>80.36</v>
      </c>
      <c r="C230" s="2">
        <v>80.12</v>
      </c>
      <c r="D230" s="3" t="s">
        <v>1</v>
      </c>
      <c r="E230" s="3"/>
    </row>
    <row r="231" spans="1:5" ht="27" x14ac:dyDescent="0.35">
      <c r="A231" s="1" t="s">
        <v>296</v>
      </c>
      <c r="B231" s="2">
        <v>79.97</v>
      </c>
      <c r="C231" s="2"/>
      <c r="D231" s="3" t="s">
        <v>1</v>
      </c>
      <c r="E231" s="3"/>
    </row>
    <row r="232" spans="1:5" ht="27" x14ac:dyDescent="0.35">
      <c r="A232" s="1" t="s">
        <v>297</v>
      </c>
      <c r="B232" s="2">
        <v>80.03</v>
      </c>
      <c r="C232" s="2"/>
      <c r="D232" s="3" t="s">
        <v>1</v>
      </c>
      <c r="E232" s="3"/>
    </row>
    <row r="233" spans="1:5" ht="27" x14ac:dyDescent="0.35">
      <c r="A233" s="1" t="s">
        <v>298</v>
      </c>
      <c r="B233" s="2">
        <v>79.84</v>
      </c>
      <c r="C233" s="2">
        <v>79.69</v>
      </c>
      <c r="D233" s="3" t="s">
        <v>1</v>
      </c>
      <c r="E233" s="3"/>
    </row>
    <row r="234" spans="1:5" ht="27" x14ac:dyDescent="0.35">
      <c r="A234" s="1" t="s">
        <v>299</v>
      </c>
      <c r="B234" s="2">
        <v>79.64</v>
      </c>
      <c r="C234" s="2"/>
      <c r="D234" s="3" t="s">
        <v>1</v>
      </c>
      <c r="E234" s="3"/>
    </row>
    <row r="235" spans="1:5" ht="27" x14ac:dyDescent="0.35">
      <c r="A235" s="1" t="s">
        <v>300</v>
      </c>
      <c r="B235" s="2">
        <v>79.59</v>
      </c>
      <c r="C235" s="2"/>
      <c r="D235" s="3" t="s">
        <v>1</v>
      </c>
      <c r="E235" s="3"/>
    </row>
    <row r="236" spans="1:5" ht="27" x14ac:dyDescent="0.35">
      <c r="A236" s="1" t="s">
        <v>301</v>
      </c>
      <c r="B236" s="2">
        <v>79.67</v>
      </c>
      <c r="C236" s="2">
        <v>79.650000000000006</v>
      </c>
      <c r="D236" s="3" t="s">
        <v>1</v>
      </c>
      <c r="E236" s="3"/>
    </row>
    <row r="237" spans="1:5" ht="27" x14ac:dyDescent="0.35">
      <c r="A237" s="1" t="s">
        <v>302</v>
      </c>
      <c r="B237" s="2">
        <v>79.709999999999994</v>
      </c>
      <c r="C237" s="2"/>
      <c r="D237" s="3" t="s">
        <v>1</v>
      </c>
      <c r="E237" s="3"/>
    </row>
    <row r="238" spans="1:5" ht="27" x14ac:dyDescent="0.35">
      <c r="A238" s="1" t="s">
        <v>303</v>
      </c>
      <c r="B238" s="2">
        <v>79.56</v>
      </c>
      <c r="C238" s="2"/>
      <c r="D238" s="3" t="s">
        <v>1</v>
      </c>
      <c r="E238" s="3"/>
    </row>
    <row r="239" spans="1:5" ht="27" x14ac:dyDescent="0.35">
      <c r="A239" s="1" t="s">
        <v>304</v>
      </c>
      <c r="B239" s="2">
        <v>79.209999999999994</v>
      </c>
      <c r="C239" s="2">
        <v>78.87</v>
      </c>
      <c r="D239" s="3" t="s">
        <v>1</v>
      </c>
      <c r="E239" s="3"/>
    </row>
    <row r="240" spans="1:5" ht="27" x14ac:dyDescent="0.35">
      <c r="A240" s="1" t="s">
        <v>305</v>
      </c>
      <c r="B240" s="2">
        <v>78.760000000000005</v>
      </c>
      <c r="C240" s="2"/>
      <c r="D240" s="3" t="s">
        <v>1</v>
      </c>
      <c r="E240" s="3"/>
    </row>
    <row r="241" spans="1:5" ht="27" x14ac:dyDescent="0.35">
      <c r="A241" s="1" t="s">
        <v>306</v>
      </c>
      <c r="B241" s="2">
        <v>78.63</v>
      </c>
      <c r="C241" s="2"/>
      <c r="D241" s="3" t="s">
        <v>1</v>
      </c>
      <c r="E241" s="3"/>
    </row>
    <row r="242" spans="1:5" ht="27" x14ac:dyDescent="0.35">
      <c r="A242" s="1" t="s">
        <v>307</v>
      </c>
      <c r="B242" s="2">
        <v>78.540000000000006</v>
      </c>
      <c r="C242" s="2">
        <v>78.319999999999993</v>
      </c>
      <c r="D242" s="3" t="s">
        <v>1</v>
      </c>
      <c r="E242" s="3"/>
    </row>
    <row r="243" spans="1:5" ht="27" x14ac:dyDescent="0.35">
      <c r="A243" s="1" t="s">
        <v>308</v>
      </c>
      <c r="B243" s="2">
        <v>78.19</v>
      </c>
      <c r="C243" s="2"/>
      <c r="D243" s="3" t="s">
        <v>1</v>
      </c>
      <c r="E243" s="3"/>
    </row>
    <row r="244" spans="1:5" ht="27" x14ac:dyDescent="0.35">
      <c r="A244" s="1" t="s">
        <v>309</v>
      </c>
      <c r="B244" s="2">
        <v>78.239999999999995</v>
      </c>
      <c r="C244" s="2"/>
      <c r="D244" s="3" t="s">
        <v>1</v>
      </c>
      <c r="E244" s="3"/>
    </row>
    <row r="245" spans="1:5" ht="27" x14ac:dyDescent="0.35">
      <c r="A245" s="1" t="s">
        <v>310</v>
      </c>
      <c r="B245" s="2">
        <v>78.180000000000007</v>
      </c>
      <c r="C245" s="2">
        <v>78.06</v>
      </c>
      <c r="D245" s="3" t="s">
        <v>1</v>
      </c>
      <c r="E245" s="3"/>
    </row>
    <row r="246" spans="1:5" ht="27" x14ac:dyDescent="0.35">
      <c r="A246" s="1" t="s">
        <v>311</v>
      </c>
      <c r="B246" s="2">
        <v>77.97</v>
      </c>
      <c r="C246" s="2"/>
      <c r="D246" s="3" t="s">
        <v>1</v>
      </c>
      <c r="E246" s="3"/>
    </row>
    <row r="247" spans="1:5" ht="27" x14ac:dyDescent="0.35">
      <c r="A247" s="1" t="s">
        <v>312</v>
      </c>
      <c r="B247" s="2">
        <v>78.03</v>
      </c>
      <c r="C247" s="2"/>
      <c r="D247" s="3" t="s">
        <v>1</v>
      </c>
      <c r="E247" s="3"/>
    </row>
    <row r="248" spans="1:5" ht="27" x14ac:dyDescent="0.35">
      <c r="A248" s="1" t="s">
        <v>313</v>
      </c>
      <c r="B248" s="2">
        <v>78.209999999999994</v>
      </c>
      <c r="C248" s="2">
        <v>78.010000000000005</v>
      </c>
      <c r="D248" s="3" t="s">
        <v>1</v>
      </c>
      <c r="E248" s="3"/>
    </row>
    <row r="249" spans="1:5" ht="27" x14ac:dyDescent="0.35">
      <c r="A249" s="1" t="s">
        <v>314</v>
      </c>
      <c r="B249" s="2">
        <v>78.099999999999994</v>
      </c>
      <c r="C249" s="2"/>
      <c r="D249" s="3" t="s">
        <v>1</v>
      </c>
      <c r="E249" s="3"/>
    </row>
    <row r="250" spans="1:5" ht="27" x14ac:dyDescent="0.35">
      <c r="A250" s="1" t="s">
        <v>315</v>
      </c>
      <c r="B250" s="2">
        <v>77.73</v>
      </c>
      <c r="C250" s="2"/>
      <c r="D250" s="3" t="s">
        <v>1</v>
      </c>
      <c r="E250" s="3"/>
    </row>
    <row r="251" spans="1:5" ht="27" x14ac:dyDescent="0.35">
      <c r="A251" s="1" t="s">
        <v>316</v>
      </c>
      <c r="B251" s="2">
        <v>77.27</v>
      </c>
      <c r="C251" s="2">
        <v>76.92</v>
      </c>
      <c r="D251" s="3" t="s">
        <v>1</v>
      </c>
      <c r="E251" s="3"/>
    </row>
    <row r="252" spans="1:5" ht="27" x14ac:dyDescent="0.35">
      <c r="A252" s="1" t="s">
        <v>317</v>
      </c>
      <c r="B252" s="2">
        <v>76.86</v>
      </c>
      <c r="C252" s="2"/>
      <c r="D252" s="3" t="s">
        <v>1</v>
      </c>
      <c r="E252" s="3"/>
    </row>
    <row r="253" spans="1:5" ht="67.5" x14ac:dyDescent="0.35">
      <c r="A253" s="1" t="s">
        <v>318</v>
      </c>
      <c r="B253" s="2">
        <v>76.63</v>
      </c>
      <c r="C253" s="2"/>
      <c r="D253" s="3" t="s">
        <v>1</v>
      </c>
      <c r="E253" s="3" t="s">
        <v>415</v>
      </c>
    </row>
    <row r="254" spans="1:5" ht="27" x14ac:dyDescent="0.35">
      <c r="A254" s="1" t="s">
        <v>319</v>
      </c>
      <c r="B254" s="2">
        <v>76.959999999999994</v>
      </c>
      <c r="C254" s="2">
        <v>76.72</v>
      </c>
      <c r="D254" s="3" t="s">
        <v>1</v>
      </c>
      <c r="E254" s="3"/>
    </row>
    <row r="255" spans="1:5" ht="27" x14ac:dyDescent="0.35">
      <c r="A255" s="1" t="s">
        <v>320</v>
      </c>
      <c r="B255" s="2">
        <v>76.680000000000007</v>
      </c>
      <c r="C255" s="2"/>
      <c r="D255" s="3" t="s">
        <v>1</v>
      </c>
      <c r="E255" s="3"/>
    </row>
    <row r="256" spans="1:5" ht="27" x14ac:dyDescent="0.35">
      <c r="A256" s="1" t="s">
        <v>321</v>
      </c>
      <c r="B256" s="2">
        <v>76.52</v>
      </c>
      <c r="C256" s="2"/>
      <c r="D256" s="3" t="s">
        <v>1</v>
      </c>
      <c r="E256" s="3"/>
    </row>
    <row r="257" spans="1:5" ht="27" x14ac:dyDescent="0.35">
      <c r="A257" s="1" t="s">
        <v>322</v>
      </c>
      <c r="B257" s="2">
        <v>76.5</v>
      </c>
      <c r="C257" s="2">
        <v>76.28</v>
      </c>
      <c r="D257" s="3" t="s">
        <v>1</v>
      </c>
      <c r="E257" s="3"/>
    </row>
    <row r="258" spans="1:5" ht="27" x14ac:dyDescent="0.35">
      <c r="A258" s="1" t="s">
        <v>323</v>
      </c>
      <c r="B258" s="2">
        <v>76.2</v>
      </c>
      <c r="C258" s="2"/>
      <c r="D258" s="3" t="s">
        <v>1</v>
      </c>
      <c r="E258" s="3"/>
    </row>
    <row r="259" spans="1:5" ht="27" x14ac:dyDescent="0.35">
      <c r="A259" s="1" t="s">
        <v>324</v>
      </c>
      <c r="B259" s="2">
        <v>76.14</v>
      </c>
      <c r="C259" s="2"/>
      <c r="D259" s="3" t="s">
        <v>1</v>
      </c>
      <c r="E259" s="3"/>
    </row>
    <row r="260" spans="1:5" ht="27" x14ac:dyDescent="0.35">
      <c r="A260" s="1" t="s">
        <v>325</v>
      </c>
      <c r="B260" s="2">
        <v>76.040000000000006</v>
      </c>
      <c r="C260" s="2">
        <v>75.819999999999993</v>
      </c>
      <c r="D260" s="3" t="s">
        <v>1</v>
      </c>
      <c r="E260" s="3"/>
    </row>
    <row r="261" spans="1:5" ht="27" x14ac:dyDescent="0.35">
      <c r="A261" s="1" t="s">
        <v>326</v>
      </c>
      <c r="B261" s="2">
        <v>75.760000000000005</v>
      </c>
      <c r="C261" s="2"/>
      <c r="D261" s="3" t="s">
        <v>1</v>
      </c>
      <c r="E261" s="3"/>
    </row>
    <row r="262" spans="1:5" ht="27" x14ac:dyDescent="0.35">
      <c r="A262" s="1" t="s">
        <v>327</v>
      </c>
      <c r="B262" s="2">
        <v>75.67</v>
      </c>
      <c r="C262" s="2"/>
      <c r="D262" s="3" t="s">
        <v>1</v>
      </c>
      <c r="E262" s="3"/>
    </row>
    <row r="263" spans="1:5" ht="27" x14ac:dyDescent="0.35">
      <c r="A263" s="1" t="s">
        <v>328</v>
      </c>
      <c r="B263" s="2">
        <v>75.599999999999994</v>
      </c>
      <c r="C263" s="2">
        <v>75.37</v>
      </c>
      <c r="D263" s="3" t="s">
        <v>1</v>
      </c>
      <c r="E263" s="3"/>
    </row>
    <row r="264" spans="1:5" ht="27" x14ac:dyDescent="0.35">
      <c r="A264" s="1" t="s">
        <v>329</v>
      </c>
      <c r="B264" s="2">
        <v>75.37</v>
      </c>
      <c r="C264" s="2"/>
      <c r="D264" s="3" t="s">
        <v>1</v>
      </c>
      <c r="E264" s="3"/>
    </row>
    <row r="265" spans="1:5" ht="67.5" x14ac:dyDescent="0.35">
      <c r="A265" s="1" t="s">
        <v>330</v>
      </c>
      <c r="B265" s="2">
        <v>75.13</v>
      </c>
      <c r="C265" s="2"/>
      <c r="D265" s="3" t="s">
        <v>1</v>
      </c>
      <c r="E265" s="3" t="s">
        <v>416</v>
      </c>
    </row>
    <row r="266" spans="1:5" ht="27" x14ac:dyDescent="0.35">
      <c r="A266" s="1" t="s">
        <v>331</v>
      </c>
      <c r="B266" s="2">
        <v>75.09</v>
      </c>
      <c r="C266" s="2">
        <v>74.89</v>
      </c>
      <c r="D266" s="3" t="s">
        <v>1</v>
      </c>
      <c r="E266" s="3"/>
    </row>
    <row r="267" spans="1:5" ht="27" x14ac:dyDescent="0.35">
      <c r="A267" s="1" t="s">
        <v>332</v>
      </c>
      <c r="B267" s="2">
        <v>74.84</v>
      </c>
      <c r="C267" s="2"/>
      <c r="D267" s="3" t="s">
        <v>1</v>
      </c>
      <c r="E267" s="3"/>
    </row>
    <row r="268" spans="1:5" ht="27" x14ac:dyDescent="0.35">
      <c r="A268" s="1" t="s">
        <v>333</v>
      </c>
      <c r="B268" s="2">
        <v>74.739999999999995</v>
      </c>
      <c r="C268" s="2"/>
      <c r="D268" s="3" t="s">
        <v>1</v>
      </c>
      <c r="E268" s="3"/>
    </row>
    <row r="269" spans="1:5" ht="27" x14ac:dyDescent="0.35">
      <c r="A269" s="1" t="s">
        <v>334</v>
      </c>
      <c r="B269" s="2">
        <v>74.709999999999994</v>
      </c>
      <c r="C269" s="2">
        <v>74.650000000000006</v>
      </c>
      <c r="D269" s="3" t="s">
        <v>1</v>
      </c>
      <c r="E269" s="3"/>
    </row>
    <row r="270" spans="1:5" ht="27" x14ac:dyDescent="0.35">
      <c r="A270" s="1" t="s">
        <v>335</v>
      </c>
      <c r="B270" s="2">
        <v>74.67</v>
      </c>
      <c r="C270" s="2"/>
      <c r="D270" s="3" t="s">
        <v>1</v>
      </c>
      <c r="E270" s="3"/>
    </row>
    <row r="271" spans="1:5" ht="27" x14ac:dyDescent="0.35">
      <c r="A271" s="1" t="s">
        <v>336</v>
      </c>
      <c r="B271" s="2">
        <v>74.58</v>
      </c>
      <c r="C271" s="2"/>
      <c r="D271" s="3" t="s">
        <v>1</v>
      </c>
      <c r="E271" s="3"/>
    </row>
    <row r="272" spans="1:5" ht="27" x14ac:dyDescent="0.35">
      <c r="A272" s="1" t="s">
        <v>337</v>
      </c>
      <c r="B272" s="2">
        <v>74.45</v>
      </c>
      <c r="C272" s="2">
        <v>74.430000000000007</v>
      </c>
      <c r="D272" s="3" t="s">
        <v>1</v>
      </c>
      <c r="E272" s="3"/>
    </row>
    <row r="273" spans="1:5" ht="27" x14ac:dyDescent="0.35">
      <c r="A273" s="1" t="s">
        <v>338</v>
      </c>
      <c r="B273" s="2">
        <v>74.45</v>
      </c>
      <c r="C273" s="2"/>
      <c r="D273" s="3" t="s">
        <v>1</v>
      </c>
      <c r="E273" s="3"/>
    </row>
    <row r="274" spans="1:5" ht="27" x14ac:dyDescent="0.35">
      <c r="A274" s="1" t="s">
        <v>339</v>
      </c>
      <c r="B274" s="2">
        <v>74.400000000000006</v>
      </c>
      <c r="C274" s="2"/>
      <c r="D274" s="3" t="s">
        <v>1</v>
      </c>
      <c r="E274" s="3"/>
    </row>
    <row r="275" spans="1:5" ht="27" x14ac:dyDescent="0.35">
      <c r="A275" s="1" t="s">
        <v>340</v>
      </c>
      <c r="B275" s="2">
        <v>74.150000000000006</v>
      </c>
      <c r="C275" s="2">
        <v>73.95</v>
      </c>
      <c r="D275" s="3" t="s">
        <v>1</v>
      </c>
      <c r="E275" s="3"/>
    </row>
    <row r="276" spans="1:5" ht="27" x14ac:dyDescent="0.35">
      <c r="A276" s="1" t="s">
        <v>341</v>
      </c>
      <c r="B276" s="2">
        <v>73.94</v>
      </c>
      <c r="C276" s="2"/>
      <c r="D276" s="3" t="s">
        <v>1</v>
      </c>
      <c r="E276" s="3"/>
    </row>
    <row r="277" spans="1:5" ht="81" x14ac:dyDescent="0.35">
      <c r="A277" s="1" t="s">
        <v>342</v>
      </c>
      <c r="B277" s="2">
        <v>73.760000000000005</v>
      </c>
      <c r="C277" s="2"/>
      <c r="D277" s="3" t="s">
        <v>1</v>
      </c>
      <c r="E277" s="3" t="s">
        <v>417</v>
      </c>
    </row>
    <row r="278" spans="1:5" ht="27" x14ac:dyDescent="0.35">
      <c r="A278" s="1" t="s">
        <v>343</v>
      </c>
      <c r="B278" s="2">
        <v>73.81</v>
      </c>
      <c r="C278" s="2">
        <v>73.78</v>
      </c>
      <c r="D278" s="3" t="s">
        <v>1</v>
      </c>
      <c r="E278" s="3"/>
    </row>
    <row r="279" spans="1:5" ht="27" x14ac:dyDescent="0.35">
      <c r="A279" s="1" t="s">
        <v>344</v>
      </c>
      <c r="B279" s="2">
        <v>73.77</v>
      </c>
      <c r="C279" s="2"/>
      <c r="D279" s="3" t="s">
        <v>1</v>
      </c>
      <c r="E279" s="3"/>
    </row>
    <row r="280" spans="1:5" ht="27" x14ac:dyDescent="0.35">
      <c r="A280" s="1" t="s">
        <v>345</v>
      </c>
      <c r="B280" s="2">
        <v>73.77</v>
      </c>
      <c r="C280" s="2"/>
      <c r="D280" s="3" t="s">
        <v>1</v>
      </c>
      <c r="E280" s="3"/>
    </row>
    <row r="281" spans="1:5" ht="27" x14ac:dyDescent="0.35">
      <c r="A281" s="1" t="s">
        <v>346</v>
      </c>
      <c r="B281" s="2">
        <v>73.790000000000006</v>
      </c>
      <c r="C281" s="2">
        <v>73.819999999999993</v>
      </c>
      <c r="D281" s="3" t="s">
        <v>1</v>
      </c>
      <c r="E281" s="3"/>
    </row>
    <row r="282" spans="1:5" ht="27" x14ac:dyDescent="0.35">
      <c r="A282" s="1" t="s">
        <v>347</v>
      </c>
      <c r="B282" s="2">
        <v>73.849999999999994</v>
      </c>
      <c r="C282" s="2"/>
      <c r="D282" s="3" t="s">
        <v>1</v>
      </c>
      <c r="E282" s="3"/>
    </row>
    <row r="283" spans="1:5" ht="27" x14ac:dyDescent="0.35">
      <c r="A283" s="1" t="s">
        <v>348</v>
      </c>
      <c r="B283" s="2">
        <v>73.83</v>
      </c>
      <c r="C283" s="2"/>
      <c r="D283" s="3" t="s">
        <v>1</v>
      </c>
      <c r="E283" s="3"/>
    </row>
    <row r="284" spans="1:5" ht="27" x14ac:dyDescent="0.35">
      <c r="A284" s="1" t="s">
        <v>349</v>
      </c>
      <c r="B284" s="2">
        <v>73.8</v>
      </c>
      <c r="C284" s="2">
        <v>73.72</v>
      </c>
      <c r="D284" s="3" t="s">
        <v>1</v>
      </c>
      <c r="E284" s="3"/>
    </row>
    <row r="285" spans="1:5" ht="27" x14ac:dyDescent="0.35">
      <c r="A285" s="1" t="s">
        <v>350</v>
      </c>
      <c r="B285" s="2">
        <v>73.760000000000005</v>
      </c>
      <c r="C285" s="2"/>
      <c r="D285" s="3" t="s">
        <v>1</v>
      </c>
      <c r="E285" s="3"/>
    </row>
    <row r="286" spans="1:5" ht="27" x14ac:dyDescent="0.35">
      <c r="A286" s="1" t="s">
        <v>351</v>
      </c>
      <c r="B286" s="2">
        <v>73.61</v>
      </c>
      <c r="C286" s="2"/>
      <c r="D286" s="3" t="s">
        <v>1</v>
      </c>
      <c r="E286" s="3"/>
    </row>
    <row r="287" spans="1:5" ht="27" x14ac:dyDescent="0.35">
      <c r="A287" s="1" t="s">
        <v>352</v>
      </c>
      <c r="B287" s="2">
        <v>73.459999999999994</v>
      </c>
      <c r="C287" s="2">
        <v>73.349999999999994</v>
      </c>
      <c r="D287" s="3" t="s">
        <v>1</v>
      </c>
      <c r="E287" s="3"/>
    </row>
    <row r="288" spans="1:5" ht="27" x14ac:dyDescent="0.35">
      <c r="A288" s="1" t="s">
        <v>353</v>
      </c>
      <c r="B288" s="2">
        <v>73.400000000000006</v>
      </c>
      <c r="C288" s="2"/>
      <c r="D288" s="3" t="s">
        <v>1</v>
      </c>
      <c r="E288" s="3"/>
    </row>
    <row r="289" spans="1:5" ht="67.5" x14ac:dyDescent="0.35">
      <c r="A289" s="1" t="s">
        <v>354</v>
      </c>
      <c r="B289" s="2">
        <v>73.2</v>
      </c>
      <c r="C289" s="2"/>
      <c r="D289" s="3" t="s">
        <v>1</v>
      </c>
      <c r="E289" s="3" t="s">
        <v>418</v>
      </c>
    </row>
    <row r="290" spans="1:5" ht="27" x14ac:dyDescent="0.35">
      <c r="A290" s="1" t="s">
        <v>355</v>
      </c>
      <c r="B290" s="2">
        <v>73.260000000000005</v>
      </c>
      <c r="C290" s="2">
        <v>73.180000000000007</v>
      </c>
      <c r="D290" s="3" t="s">
        <v>1</v>
      </c>
      <c r="E290" s="3"/>
    </row>
    <row r="291" spans="1:5" ht="27" x14ac:dyDescent="0.35">
      <c r="A291" s="1" t="s">
        <v>356</v>
      </c>
      <c r="B291" s="2">
        <v>73.180000000000007</v>
      </c>
      <c r="C291" s="2"/>
      <c r="D291" s="3" t="s">
        <v>1</v>
      </c>
      <c r="E291" s="3"/>
    </row>
    <row r="292" spans="1:5" ht="27" x14ac:dyDescent="0.35">
      <c r="A292" s="1" t="s">
        <v>357</v>
      </c>
      <c r="B292" s="2">
        <v>73.09</v>
      </c>
      <c r="C292" s="2"/>
      <c r="D292" s="3" t="s">
        <v>1</v>
      </c>
      <c r="E292" s="3"/>
    </row>
    <row r="293" spans="1:5" ht="27" x14ac:dyDescent="0.35">
      <c r="A293" s="1" t="s">
        <v>358</v>
      </c>
      <c r="B293" s="2">
        <v>73.069999999999993</v>
      </c>
      <c r="C293" s="2">
        <v>73</v>
      </c>
      <c r="D293" s="3" t="s">
        <v>1</v>
      </c>
      <c r="E293" s="3"/>
    </row>
    <row r="294" spans="1:5" ht="27" x14ac:dyDescent="0.35">
      <c r="A294" s="1" t="s">
        <v>359</v>
      </c>
      <c r="B294" s="2">
        <v>73.02</v>
      </c>
      <c r="C294" s="2"/>
      <c r="D294" s="3" t="s">
        <v>1</v>
      </c>
      <c r="E294" s="3"/>
    </row>
    <row r="295" spans="1:5" ht="27" x14ac:dyDescent="0.35">
      <c r="A295" s="1" t="s">
        <v>360</v>
      </c>
      <c r="B295" s="2">
        <v>72.900000000000006</v>
      </c>
      <c r="C295" s="2"/>
      <c r="D295" s="3" t="s">
        <v>1</v>
      </c>
      <c r="E295" s="3"/>
    </row>
    <row r="296" spans="1:5" ht="27" x14ac:dyDescent="0.35">
      <c r="A296" s="1" t="s">
        <v>361</v>
      </c>
      <c r="B296" s="2">
        <v>72.83</v>
      </c>
      <c r="C296" s="2">
        <v>72.739999999999995</v>
      </c>
      <c r="D296" s="3" t="s">
        <v>1</v>
      </c>
      <c r="E296" s="3"/>
    </row>
    <row r="297" spans="1:5" ht="27" x14ac:dyDescent="0.35">
      <c r="A297" s="1" t="s">
        <v>362</v>
      </c>
      <c r="B297" s="2">
        <v>72.8</v>
      </c>
      <c r="C297" s="2"/>
      <c r="D297" s="3" t="s">
        <v>1</v>
      </c>
      <c r="E297" s="3"/>
    </row>
    <row r="298" spans="1:5" ht="27" x14ac:dyDescent="0.35">
      <c r="A298" s="1" t="s">
        <v>363</v>
      </c>
      <c r="B298" s="2">
        <v>72.599999999999994</v>
      </c>
      <c r="C298" s="2"/>
      <c r="D298" s="3" t="s">
        <v>1</v>
      </c>
      <c r="E298" s="3"/>
    </row>
    <row r="299" spans="1:5" ht="27" x14ac:dyDescent="0.35">
      <c r="A299" s="1" t="s">
        <v>364</v>
      </c>
      <c r="B299" s="2">
        <v>72.650000000000006</v>
      </c>
      <c r="C299" s="2">
        <v>72.55</v>
      </c>
      <c r="D299" s="3" t="s">
        <v>1</v>
      </c>
      <c r="E299" s="3"/>
    </row>
    <row r="300" spans="1:5" ht="27" x14ac:dyDescent="0.35">
      <c r="A300" s="1" t="s">
        <v>365</v>
      </c>
      <c r="B300" s="2">
        <v>72.59</v>
      </c>
      <c r="C300" s="2"/>
      <c r="D300" s="3" t="s">
        <v>1</v>
      </c>
      <c r="E300" s="3"/>
    </row>
    <row r="301" spans="1:5" ht="27" x14ac:dyDescent="0.35">
      <c r="A301" s="1" t="s">
        <v>366</v>
      </c>
      <c r="B301" s="2">
        <v>72.42</v>
      </c>
      <c r="C301" s="2"/>
      <c r="D301" s="3" t="s">
        <v>1</v>
      </c>
      <c r="E301" s="3"/>
    </row>
    <row r="302" spans="1:5" ht="27" x14ac:dyDescent="0.35">
      <c r="A302" s="1" t="s">
        <v>367</v>
      </c>
      <c r="B302" s="2">
        <v>72.19</v>
      </c>
      <c r="C302" s="2">
        <v>72.069999999999993</v>
      </c>
      <c r="D302" s="3" t="s">
        <v>1</v>
      </c>
      <c r="E302" s="3"/>
    </row>
    <row r="303" spans="1:5" ht="27" x14ac:dyDescent="0.35">
      <c r="A303" s="1" t="s">
        <v>368</v>
      </c>
      <c r="B303" s="2">
        <v>72.010000000000005</v>
      </c>
      <c r="C303" s="2"/>
      <c r="D303" s="3" t="s">
        <v>1</v>
      </c>
      <c r="E303" s="3"/>
    </row>
    <row r="304" spans="1:5" ht="27" x14ac:dyDescent="0.35">
      <c r="A304" s="1" t="s">
        <v>369</v>
      </c>
      <c r="B304" s="2">
        <v>72</v>
      </c>
      <c r="C304" s="2"/>
      <c r="D304" s="3" t="s">
        <v>1</v>
      </c>
      <c r="E304" s="3"/>
    </row>
    <row r="305" spans="1:5" ht="27" x14ac:dyDescent="0.35">
      <c r="A305" s="1" t="s">
        <v>370</v>
      </c>
      <c r="B305" s="2">
        <v>71.930000000000007</v>
      </c>
      <c r="C305" s="2">
        <v>71.86</v>
      </c>
      <c r="D305" s="3" t="s">
        <v>1</v>
      </c>
      <c r="E305" s="3"/>
    </row>
    <row r="306" spans="1:5" ht="27" x14ac:dyDescent="0.35">
      <c r="A306" s="1" t="s">
        <v>371</v>
      </c>
      <c r="B306" s="2">
        <v>71.8</v>
      </c>
      <c r="C306" s="2"/>
      <c r="D306" s="3" t="s">
        <v>1</v>
      </c>
      <c r="E306" s="3"/>
    </row>
    <row r="307" spans="1:5" ht="27" x14ac:dyDescent="0.35">
      <c r="A307" s="1" t="s">
        <v>372</v>
      </c>
      <c r="B307" s="2">
        <v>71.84</v>
      </c>
      <c r="C307" s="2"/>
      <c r="D307" s="3" t="s">
        <v>1</v>
      </c>
      <c r="E307" s="3"/>
    </row>
    <row r="308" spans="1:5" ht="27" x14ac:dyDescent="0.35">
      <c r="A308" s="1" t="s">
        <v>373</v>
      </c>
      <c r="B308" s="2">
        <v>71.84</v>
      </c>
      <c r="C308" s="2">
        <v>71.78</v>
      </c>
      <c r="D308" s="3" t="s">
        <v>1</v>
      </c>
      <c r="E308" s="3"/>
    </row>
    <row r="309" spans="1:5" ht="27" x14ac:dyDescent="0.35">
      <c r="A309" s="1" t="s">
        <v>374</v>
      </c>
      <c r="B309" s="2">
        <v>71.83</v>
      </c>
      <c r="C309" s="2"/>
      <c r="D309" s="3" t="s">
        <v>1</v>
      </c>
      <c r="E309" s="3"/>
    </row>
    <row r="310" spans="1:5" ht="27" x14ac:dyDescent="0.35">
      <c r="A310" s="1" t="s">
        <v>375</v>
      </c>
      <c r="B310" s="2">
        <v>71.66</v>
      </c>
      <c r="C310" s="2"/>
      <c r="D310" s="3" t="s">
        <v>1</v>
      </c>
      <c r="E310" s="3"/>
    </row>
    <row r="311" spans="1:5" ht="27" x14ac:dyDescent="0.35">
      <c r="A311" s="1" t="s">
        <v>376</v>
      </c>
      <c r="B311" s="2">
        <v>71.540000000000006</v>
      </c>
      <c r="C311" s="2">
        <v>71.27</v>
      </c>
      <c r="D311" s="3" t="s">
        <v>1</v>
      </c>
      <c r="E311" s="3"/>
    </row>
    <row r="312" spans="1:5" ht="27" x14ac:dyDescent="0.35">
      <c r="A312" s="1" t="s">
        <v>377</v>
      </c>
      <c r="B312" s="2">
        <v>71.290000000000006</v>
      </c>
      <c r="C312" s="2"/>
      <c r="D312" s="3" t="s">
        <v>1</v>
      </c>
      <c r="E312" s="3"/>
    </row>
    <row r="313" spans="1:5" ht="27" x14ac:dyDescent="0.35">
      <c r="A313" s="1" t="s">
        <v>378</v>
      </c>
      <c r="B313" s="2">
        <v>70.97</v>
      </c>
      <c r="C313" s="2"/>
      <c r="D313" s="3" t="s">
        <v>1</v>
      </c>
      <c r="E313" s="3"/>
    </row>
  </sheetData>
  <hyperlinks>
    <hyperlink ref="A4" r:id="rId1" display="https://sdw.ecb.europa.eu/quickview.do?org.apache.struts.taglib.html.TOKEN=e59f033742e52364a66bf6ccd831ccec&amp;SERIES_KEY=132.STS.M.I8.N.UWIE.CTOTNE.3.000&amp;start=&amp;end=&amp;trans=QF&amp;submitOptions.x=0&amp;submitOptions.y=0&amp;periodSortOrder=ASC" xr:uid="{39D3C67D-967D-4827-B32D-122BCB164B81}"/>
  </hyperlink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942A-293E-46A1-B95B-9C359A02BFE0}">
  <sheetPr codeName="Sheet9">
    <tabColor theme="9" tint="0.79998168889431442"/>
  </sheetPr>
  <dimension ref="A1:J40"/>
  <sheetViews>
    <sheetView workbookViewId="0">
      <selection activeCell="C8" sqref="C8"/>
    </sheetView>
  </sheetViews>
  <sheetFormatPr defaultColWidth="0" defaultRowHeight="14.5" zeroHeight="1" x14ac:dyDescent="0.35"/>
  <cols>
    <col min="1" max="1" width="13.54296875" style="17" customWidth="1"/>
    <col min="2" max="2" width="9.90625" style="15" customWidth="1"/>
    <col min="3" max="4" width="10" style="15" customWidth="1"/>
    <col min="5" max="5" width="10.6328125" style="15" customWidth="1"/>
    <col min="6" max="9" width="8.7265625" style="53" customWidth="1"/>
    <col min="10" max="10" width="0" style="53" hidden="1" customWidth="1"/>
    <col min="11" max="16384" width="8.7265625" style="53" hidden="1"/>
  </cols>
  <sheetData>
    <row r="1" spans="1:5" x14ac:dyDescent="0.35"/>
    <row r="2" spans="1:5" x14ac:dyDescent="0.35"/>
    <row r="3" spans="1:5" x14ac:dyDescent="0.35">
      <c r="A3" s="165"/>
      <c r="B3" s="167" t="s">
        <v>576</v>
      </c>
      <c r="C3" s="167"/>
      <c r="D3" s="168" t="s">
        <v>508</v>
      </c>
      <c r="E3" s="168"/>
    </row>
    <row r="4" spans="1:5" x14ac:dyDescent="0.35">
      <c r="A4" s="166"/>
      <c r="B4" s="167"/>
      <c r="C4" s="167"/>
      <c r="D4" s="168"/>
      <c r="E4" s="168"/>
    </row>
    <row r="5" spans="1:5" x14ac:dyDescent="0.35">
      <c r="A5" s="21"/>
      <c r="B5" s="22" t="s">
        <v>509</v>
      </c>
      <c r="C5" s="22" t="s">
        <v>501</v>
      </c>
      <c r="D5" s="22" t="s">
        <v>509</v>
      </c>
      <c r="E5" s="22" t="s">
        <v>501</v>
      </c>
    </row>
    <row r="6" spans="1:5" x14ac:dyDescent="0.35">
      <c r="A6" s="26" t="s">
        <v>502</v>
      </c>
      <c r="B6" s="27">
        <f ca="1">AVERAGE(B14:B34)</f>
        <v>1.0428571428571431E-2</v>
      </c>
      <c r="C6" s="27">
        <f ca="1">AVERAGE(C14:C34)</f>
        <v>1.6202021840337196E-2</v>
      </c>
      <c r="D6" s="27">
        <f ca="1">SUBTOTAL(1,B14:B34)</f>
        <v>1.0428571428571431E-2</v>
      </c>
      <c r="E6" s="27">
        <f ca="1">SUBTOTAL(1,C14:C34)</f>
        <v>1.6202021840337196E-2</v>
      </c>
    </row>
    <row r="7" spans="1:5" x14ac:dyDescent="0.35">
      <c r="A7" s="26" t="s">
        <v>503</v>
      </c>
      <c r="B7" s="27">
        <f ca="1">_xlfn.STDEV.S(B14:B34)</f>
        <v>2.0106146892359629E-2</v>
      </c>
      <c r="C7" s="27">
        <f ca="1">_xlfn.STDEV.S(C14:C34)</f>
        <v>9.1571523673182973E-3</v>
      </c>
      <c r="D7" s="27">
        <f ca="1">IF(D$8&gt;1,SUBTOTAL(7,B14:B34),"")</f>
        <v>2.0106146892359629E-2</v>
      </c>
      <c r="E7" s="27">
        <f ca="1">IF(E$8&gt;1,SUBTOTAL(7,C14:C34),"")</f>
        <v>9.1571523673182973E-3</v>
      </c>
    </row>
    <row r="8" spans="1:5" x14ac:dyDescent="0.35">
      <c r="A8" s="26" t="s">
        <v>504</v>
      </c>
      <c r="B8" s="30">
        <f ca="1">COUNT(B14:B34)</f>
        <v>21</v>
      </c>
      <c r="C8" s="30">
        <f ca="1">COUNT(C14:C34)</f>
        <v>21</v>
      </c>
      <c r="D8" s="30">
        <f ca="1">SUBTOTAL(2,B14:B34)</f>
        <v>21</v>
      </c>
      <c r="E8" s="30">
        <f ca="1">SUBTOTAL(2,C14:C34)</f>
        <v>21</v>
      </c>
    </row>
    <row r="9" spans="1:5" x14ac:dyDescent="0.35">
      <c r="A9" s="21" t="s">
        <v>505</v>
      </c>
      <c r="B9" s="31">
        <f ca="1">B7/SQRT(B8)</f>
        <v>4.387520955625673E-3</v>
      </c>
      <c r="C9" s="31">
        <f ca="1">C7/SQRT(C8)</f>
        <v>1.998254470165722E-3</v>
      </c>
      <c r="D9" s="31">
        <f ca="1">IF(D$8&gt;1,D7/SQRT(D8),"")</f>
        <v>4.387520955625673E-3</v>
      </c>
      <c r="E9" s="31">
        <f ca="1">IF(E$8&gt;1,E7/SQRT(E8),"")</f>
        <v>1.998254470165722E-3</v>
      </c>
    </row>
    <row r="10" spans="1:5" x14ac:dyDescent="0.35">
      <c r="A10" s="26" t="s">
        <v>506</v>
      </c>
      <c r="B10" s="30">
        <f ca="1">B8-1</f>
        <v>20</v>
      </c>
      <c r="C10" s="30">
        <f ca="1">C8-1</f>
        <v>20</v>
      </c>
      <c r="D10" s="30">
        <f ca="1">D8-1</f>
        <v>20</v>
      </c>
      <c r="E10" s="30">
        <f ca="1">E8-1</f>
        <v>20</v>
      </c>
    </row>
    <row r="11" spans="1:5" x14ac:dyDescent="0.35">
      <c r="A11" s="21" t="s">
        <v>507</v>
      </c>
      <c r="B11" s="169">
        <f ca="1">CORREL(B14:B34,C14:C34)</f>
        <v>0.40567210072787774</v>
      </c>
      <c r="C11" s="169"/>
      <c r="D11" s="170"/>
      <c r="E11" s="170"/>
    </row>
    <row r="12" spans="1:5" ht="32.5" customHeight="1" x14ac:dyDescent="0.35"/>
    <row r="13" spans="1:5" ht="24" x14ac:dyDescent="0.35">
      <c r="A13" s="21" t="s">
        <v>493</v>
      </c>
      <c r="B13" s="22" t="s">
        <v>494</v>
      </c>
      <c r="C13" s="22" t="s">
        <v>495</v>
      </c>
    </row>
    <row r="14" spans="1:5" x14ac:dyDescent="0.35">
      <c r="A14" s="26">
        <f ca="1">OFFSET(Data_Growth!$B$4,ROW(A1)*4,0)</f>
        <v>2020</v>
      </c>
      <c r="B14" s="27">
        <f ca="1">OFFSET(Data_Growth!$C$4,ROW(A1)*4,0)/100</f>
        <v>-4.4000000000000004E-2</v>
      </c>
      <c r="C14" s="27">
        <f ca="1">OFFSET(Data_Inflation!$B$2,ROW(A1)*12,0)/OFFSET(Data_Inflation!$B$2,ROW(A2)*12,0)-1</f>
        <v>-2.6557905719434283E-3</v>
      </c>
      <c r="D14" s="16"/>
    </row>
    <row r="15" spans="1:5" x14ac:dyDescent="0.35">
      <c r="A15" s="26">
        <f ca="1">OFFSET(Data_Growth!$B$4,ROW(A2)*4,0)</f>
        <v>2019</v>
      </c>
      <c r="B15" s="27">
        <f ca="1">OFFSET(Data_Growth!$C$4,ROW(A2)*4,0)/100</f>
        <v>1.2E-2</v>
      </c>
      <c r="C15" s="27">
        <f ca="1">OFFSET(Data_Inflation!$B$2,ROW(A2)*12,0)/OFFSET(Data_Inflation!$B$2,ROW(A3)*12,0)-1</f>
        <v>1.326285439692465E-2</v>
      </c>
      <c r="D15" s="16"/>
    </row>
    <row r="16" spans="1:5" x14ac:dyDescent="0.35">
      <c r="A16" s="26">
        <f ca="1">OFFSET(Data_Growth!$B$4,ROW(A3)*4,0)</f>
        <v>2018</v>
      </c>
      <c r="B16" s="27">
        <f ca="1">OFFSET(Data_Growth!$C$4,ROW(A3)*4,0)/100</f>
        <v>1.2E-2</v>
      </c>
      <c r="C16" s="27">
        <f ca="1">OFFSET(Data_Inflation!$B$2,ROW(A3)*12,0)/OFFSET(Data_Inflation!$B$2,ROW(A4)*12,0)-1</f>
        <v>1.5220997170455774E-2</v>
      </c>
      <c r="D16" s="16"/>
    </row>
    <row r="17" spans="1:5" x14ac:dyDescent="0.35">
      <c r="A17" s="26">
        <f ca="1">OFFSET(Data_Growth!$B$4,ROW(A4)*4,0)</f>
        <v>2017</v>
      </c>
      <c r="B17" s="27">
        <f ca="1">OFFSET(Data_Growth!$C$4,ROW(A4)*4,0)/100</f>
        <v>3.1E-2</v>
      </c>
      <c r="C17" s="27">
        <f ca="1">OFFSET(Data_Inflation!$B$2,ROW(A4)*12,0)/OFFSET(Data_Inflation!$B$2,ROW(A5)*12,0)-1</f>
        <v>1.3448037179867534E-2</v>
      </c>
      <c r="D17" s="16"/>
    </row>
    <row r="18" spans="1:5" x14ac:dyDescent="0.35">
      <c r="A18" s="26">
        <f ca="1">OFFSET(Data_Growth!$B$4,ROW(A5)*4,0)</f>
        <v>2016</v>
      </c>
      <c r="B18" s="27">
        <f ca="1">OFFSET(Data_Growth!$C$4,ROW(A5)*4,0)/100</f>
        <v>0.02</v>
      </c>
      <c r="C18" s="27">
        <f ca="1">OFFSET(Data_Inflation!$B$2,ROW(A5)*12,0)/OFFSET(Data_Inflation!$B$2,ROW(A6)*12,0)-1</f>
        <v>1.0996700989702957E-2</v>
      </c>
      <c r="D18" s="16"/>
    </row>
    <row r="19" spans="1:5" x14ac:dyDescent="0.35">
      <c r="A19" s="26">
        <f ca="1">OFFSET(Data_Growth!$B$4,ROW(A6)*4,0)</f>
        <v>2015</v>
      </c>
      <c r="B19" s="27">
        <f ca="1">OFFSET(Data_Growth!$C$4,ROW(A6)*4,0)/100</f>
        <v>0.02</v>
      </c>
      <c r="C19" s="27">
        <f ca="1">OFFSET(Data_Inflation!$B$2,ROW(A6)*12,0)/OFFSET(Data_Inflation!$B$2,ROW(A7)*12,0)-1</f>
        <v>2.5055121266785996E-3</v>
      </c>
      <c r="D19" s="16"/>
    </row>
    <row r="20" spans="1:5" x14ac:dyDescent="0.35">
      <c r="A20" s="26">
        <f ca="1">OFFSET(Data_Growth!$B$4,ROW(A7)*4,0)</f>
        <v>2014</v>
      </c>
      <c r="B20" s="27">
        <f ca="1">OFFSET(Data_Growth!$C$4,ROW(A7)*4,0)/100</f>
        <v>1.4999999999999999E-2</v>
      </c>
      <c r="C20" s="27">
        <f ca="1">OFFSET(Data_Inflation!$B$2,ROW(A7)*12,0)/OFFSET(Data_Inflation!$B$2,ROW(A8)*12,0)-1</f>
        <v>-1.7008504252126189E-3</v>
      </c>
      <c r="D20" s="16"/>
    </row>
    <row r="21" spans="1:5" x14ac:dyDescent="0.35">
      <c r="A21" s="26">
        <f ca="1">OFFSET(Data_Growth!$B$4,ROW(A8)*4,0)</f>
        <v>2013</v>
      </c>
      <c r="B21" s="27">
        <f ca="1">OFFSET(Data_Growth!$C$4,ROW(A8)*4,0)/100</f>
        <v>6.9999999999999993E-3</v>
      </c>
      <c r="C21" s="27">
        <f ca="1">OFFSET(Data_Inflation!$B$2,ROW(A8)*12,0)/OFFSET(Data_Inflation!$B$2,ROW(A9)*12,0)-1</f>
        <v>8.4754313389163727E-3</v>
      </c>
      <c r="D21" s="16"/>
    </row>
    <row r="22" spans="1:5" x14ac:dyDescent="0.35">
      <c r="A22" s="26">
        <f ca="1">OFFSET(Data_Growth!$B$4,ROW(A9)*4,0)</f>
        <v>2012</v>
      </c>
      <c r="B22" s="27">
        <f ca="1">OFFSET(Data_Growth!$C$4,ROW(A9)*4,0)/100</f>
        <v>-0.01</v>
      </c>
      <c r="C22" s="27">
        <f ca="1">OFFSET(Data_Inflation!$B$2,ROW(A9)*12,0)/OFFSET(Data_Inflation!$B$2,ROW(A10)*12,0)-1</f>
        <v>2.2174092409241064E-2</v>
      </c>
      <c r="D22" s="16"/>
    </row>
    <row r="23" spans="1:5" x14ac:dyDescent="0.35">
      <c r="A23" s="26">
        <f ca="1">OFFSET(Data_Growth!$B$4,ROW(A10)*4,0)</f>
        <v>2011</v>
      </c>
      <c r="B23" s="27">
        <f ca="1">OFFSET(Data_Growth!$C$4,ROW(A10)*4,0)/100</f>
        <v>6.0000000000000001E-3</v>
      </c>
      <c r="C23" s="27">
        <f ca="1">OFFSET(Data_Inflation!$B$2,ROW(A10)*12,0)/OFFSET(Data_Inflation!$B$2,ROW(A11)*12,0)-1</f>
        <v>2.7554048325561631E-2</v>
      </c>
      <c r="D23" s="16"/>
    </row>
    <row r="24" spans="1:5" x14ac:dyDescent="0.35">
      <c r="A24" s="26">
        <f ca="1">OFFSET(Data_Growth!$B$4,ROW(A11)*4,0)</f>
        <v>2010</v>
      </c>
      <c r="B24" s="27">
        <f ca="1">OFFSET(Data_Growth!$C$4,ROW(A11)*4,0)/100</f>
        <v>2.5000000000000001E-2</v>
      </c>
      <c r="C24" s="27">
        <f ca="1">OFFSET(Data_Inflation!$B$2,ROW(A11)*12,0)/OFFSET(Data_Inflation!$B$2,ROW(A12)*12,0)-1</f>
        <v>2.2097053726169991E-2</v>
      </c>
      <c r="D24" s="16"/>
      <c r="E24" s="16"/>
    </row>
    <row r="25" spans="1:5" x14ac:dyDescent="0.35">
      <c r="A25" s="26">
        <f ca="1">OFFSET(Data_Growth!$B$4,ROW(A12)*4,0)</f>
        <v>2009</v>
      </c>
      <c r="B25" s="27">
        <f ca="1">OFFSET(Data_Growth!$C$4,ROW(A12)*4,0)/100</f>
        <v>-2.3E-2</v>
      </c>
      <c r="C25" s="27">
        <f ca="1">OFFSET(Data_Inflation!$B$2,ROW(A12)*12,0)/OFFSET(Data_Inflation!$B$2,ROW(A13)*12,0)-1</f>
        <v>9.2926642615065447E-3</v>
      </c>
      <c r="D25" s="16"/>
      <c r="E25" s="16"/>
    </row>
    <row r="26" spans="1:5" x14ac:dyDescent="0.35">
      <c r="A26" s="26">
        <f ca="1">OFFSET(Data_Growth!$B$4,ROW(A13)*4,0)</f>
        <v>2008</v>
      </c>
      <c r="B26" s="27">
        <f ca="1">OFFSET(Data_Growth!$C$4,ROW(A13)*4,0)/100</f>
        <v>-2.2000000000000002E-2</v>
      </c>
      <c r="C26" s="27">
        <f ca="1">OFFSET(Data_Inflation!$B$2,ROW(A13)*12,0)/OFFSET(Data_Inflation!$B$2,ROW(A14)*12,0)-1</f>
        <v>1.5769017212659664E-2</v>
      </c>
      <c r="D26" s="16"/>
      <c r="E26" s="16"/>
    </row>
    <row r="27" spans="1:5" x14ac:dyDescent="0.35">
      <c r="A27" s="26">
        <f ca="1">OFFSET(Data_Growth!$B$4,ROW(A14)*4,0)</f>
        <v>2007</v>
      </c>
      <c r="B27" s="27">
        <f ca="1">OFFSET(Data_Growth!$C$4,ROW(A14)*4,0)/100</f>
        <v>2.3E-2</v>
      </c>
      <c r="C27" s="27">
        <f ca="1">OFFSET(Data_Inflation!$B$2,ROW(A14)*12,0)/OFFSET(Data_Inflation!$B$2,ROW(A15)*12,0)-1</f>
        <v>3.0674144443172624E-2</v>
      </c>
      <c r="D27" s="16"/>
      <c r="E27" s="16"/>
    </row>
    <row r="28" spans="1:5" x14ac:dyDescent="0.35">
      <c r="A28" s="26">
        <f ca="1">OFFSET(Data_Growth!$B$4,ROW(A15)*4,0)</f>
        <v>2006</v>
      </c>
      <c r="B28" s="27">
        <f ca="1">OFFSET(Data_Growth!$C$4,ROW(A15)*4,0)/100</f>
        <v>3.7999999999999999E-2</v>
      </c>
      <c r="C28" s="27">
        <f ca="1">OFFSET(Data_Inflation!$B$2,ROW(A15)*12,0)/OFFSET(Data_Inflation!$B$2,ROW(A16)*12,0)-1</f>
        <v>1.90109633776534E-2</v>
      </c>
      <c r="D28" s="16"/>
      <c r="E28" s="16"/>
    </row>
    <row r="29" spans="1:5" x14ac:dyDescent="0.35">
      <c r="A29" s="26">
        <f ca="1">OFFSET(Data_Growth!$B$4,ROW(A16)*4,0)</f>
        <v>2005</v>
      </c>
      <c r="B29" s="27">
        <f ca="1">OFFSET(Data_Growth!$C$4,ROW(A16)*4,0)/100</f>
        <v>2.2000000000000002E-2</v>
      </c>
      <c r="C29" s="27">
        <f ca="1">OFFSET(Data_Inflation!$B$2,ROW(A16)*12,0)/OFFSET(Data_Inflation!$B$2,ROW(A17)*12,0)-1</f>
        <v>2.2540250447227184E-2</v>
      </c>
      <c r="D29" s="16"/>
      <c r="E29" s="16"/>
    </row>
    <row r="30" spans="1:5" x14ac:dyDescent="0.35">
      <c r="A30" s="26">
        <f ca="1">OFFSET(Data_Growth!$B$4,ROW(A17)*4,0)</f>
        <v>2004</v>
      </c>
      <c r="B30" s="27">
        <f ca="1">OFFSET(Data_Growth!$C$4,ROW(A17)*4,0)/100</f>
        <v>1.7000000000000001E-2</v>
      </c>
      <c r="C30" s="27">
        <f ca="1">OFFSET(Data_Inflation!$B$2,ROW(A17)*12,0)/OFFSET(Data_Inflation!$B$2,ROW(A18)*12,0)-1</f>
        <v>2.318486882245252E-2</v>
      </c>
      <c r="D30" s="16"/>
      <c r="E30" s="16"/>
    </row>
    <row r="31" spans="1:5" ht="16" customHeight="1" x14ac:dyDescent="0.35">
      <c r="A31" s="26">
        <f ca="1">OFFSET(Data_Growth!$B$4,ROW(A18)*4,0)</f>
        <v>2003</v>
      </c>
      <c r="B31" s="27">
        <f ca="1">OFFSET(Data_Growth!$C$4,ROW(A18)*4,0)/100</f>
        <v>1.1000000000000001E-2</v>
      </c>
      <c r="C31" s="27">
        <f ca="1">OFFSET(Data_Inflation!$B$2,ROW(A18)*12,0)/OFFSET(Data_Inflation!$B$2,ROW(A19)*12,0)-1</f>
        <v>1.9785963165754206E-2</v>
      </c>
      <c r="D31" s="16"/>
      <c r="E31" s="16"/>
    </row>
    <row r="32" spans="1:5" x14ac:dyDescent="0.35">
      <c r="A32" s="26">
        <f ca="1">OFFSET(Data_Growth!$B$4,ROW(A19)*4,0)</f>
        <v>2002</v>
      </c>
      <c r="B32" s="27">
        <f ca="1">OFFSET(Data_Growth!$C$4,ROW(A19)*4,0)/100</f>
        <v>1.2E-2</v>
      </c>
      <c r="C32" s="27">
        <f ca="1">OFFSET(Data_Inflation!$B$2,ROW(A19)*12,0)/OFFSET(Data_Inflation!$B$2,ROW(A20)*12,0)-1</f>
        <v>2.3172905525846721E-2</v>
      </c>
      <c r="D32" s="16"/>
      <c r="E32" s="16"/>
    </row>
    <row r="33" spans="1:5" ht="14.5" customHeight="1" x14ac:dyDescent="0.35">
      <c r="A33" s="26">
        <f ca="1">OFFSET(Data_Growth!$B$4,ROW(A20)*4,0)</f>
        <v>2001</v>
      </c>
      <c r="B33" s="27">
        <f ca="1">OFFSET(Data_Growth!$C$4,ROW(A20)*4,0)/100</f>
        <v>1.3000000000000001E-2</v>
      </c>
      <c r="C33" s="27">
        <f ca="1">OFFSET(Data_Inflation!$B$2,ROW(A20)*12,0)/OFFSET(Data_Inflation!$B$2,ROW(A21)*12,0)-1</f>
        <v>2.0530145530145649E-2</v>
      </c>
      <c r="D33" s="16"/>
      <c r="E33" s="16"/>
    </row>
    <row r="34" spans="1:5" ht="15" customHeight="1" x14ac:dyDescent="0.35">
      <c r="A34" s="26">
        <f ca="1">OFFSET(Data_Growth!$B$4,ROW(A21)*4,0)</f>
        <v>2000</v>
      </c>
      <c r="B34" s="27">
        <f ca="1">OFFSET(Data_Growth!$C$4,ROW(A21)*4,0)/100</f>
        <v>3.4000000000000002E-2</v>
      </c>
      <c r="C34" s="27">
        <f ca="1">OFFSET(Data_Inflation!$B$2,ROW(A21)*12,0)/OFFSET(Data_Inflation!$B$2,ROW(A22)*12,0)-1</f>
        <v>2.4903449194300098E-2</v>
      </c>
      <c r="D34" s="16"/>
      <c r="E34" s="16"/>
    </row>
    <row r="35" spans="1:5" ht="14.5" customHeight="1" x14ac:dyDescent="0.35"/>
    <row r="36" spans="1:5" x14ac:dyDescent="0.35"/>
    <row r="37" spans="1:5" x14ac:dyDescent="0.35"/>
    <row r="38" spans="1:5" x14ac:dyDescent="0.35"/>
    <row r="39" spans="1:5" x14ac:dyDescent="0.35"/>
    <row r="40" spans="1:5" x14ac:dyDescent="0.35"/>
  </sheetData>
  <sheetProtection selectLockedCells="1" autoFilter="0"/>
  <autoFilter ref="A13:C35" xr:uid="{0933942A-293E-46A1-B95B-9C359A02BFE0}"/>
  <mergeCells count="5">
    <mergeCell ref="A3:A4"/>
    <mergeCell ref="B3:C4"/>
    <mergeCell ref="D3:E4"/>
    <mergeCell ref="B11:C11"/>
    <mergeCell ref="D11:E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goToScenarios">
                <anchor moveWithCells="1" sizeWithCells="1">
                  <from>
                    <xdr:col>6</xdr:col>
                    <xdr:colOff>6350</xdr:colOff>
                    <xdr:row>4</xdr:row>
                    <xdr:rowOff>19050</xdr:rowOff>
                  </from>
                  <to>
                    <xdr:col>7</xdr:col>
                    <xdr:colOff>603250</xdr:colOff>
                    <xdr:row>5</xdr:row>
                    <xdr:rowOff>12700</xdr:rowOff>
                  </to>
                </anchor>
              </controlPr>
            </control>
          </mc:Choice>
        </mc:AlternateContent>
        <mc:AlternateContent xmlns:mc="http://schemas.openxmlformats.org/markup-compatibility/2006">
          <mc:Choice Requires="x14">
            <control shapeId="16387" r:id="rId5" name="Button 3">
              <controlPr defaultSize="0" print="0" autoFill="0" autoPict="0" macro="[0]!goToLinear">
                <anchor moveWithCells="1" sizeWithCells="1">
                  <from>
                    <xdr:col>6</xdr:col>
                    <xdr:colOff>6350</xdr:colOff>
                    <xdr:row>5</xdr:row>
                    <xdr:rowOff>171450</xdr:rowOff>
                  </from>
                  <to>
                    <xdr:col>8</xdr:col>
                    <xdr:colOff>0</xdr:colOff>
                    <xdr:row>7</xdr:row>
                    <xdr:rowOff>6350</xdr:rowOff>
                  </to>
                </anchor>
              </controlPr>
            </control>
          </mc:Choice>
        </mc:AlternateContent>
        <mc:AlternateContent xmlns:mc="http://schemas.openxmlformats.org/markup-compatibility/2006">
          <mc:Choice Requires="x14">
            <control shapeId="16388" r:id="rId6" name="Button 4">
              <controlPr defaultSize="0" print="0" autoFill="0" autoPict="0" macro="[0]!goToCashFlow">
                <anchor moveWithCells="1" sizeWithCells="1">
                  <from>
                    <xdr:col>6</xdr:col>
                    <xdr:colOff>6350</xdr:colOff>
                    <xdr:row>8</xdr:row>
                    <xdr:rowOff>6350</xdr:rowOff>
                  </from>
                  <to>
                    <xdr:col>7</xdr:col>
                    <xdr:colOff>596900</xdr:colOff>
                    <xdr:row>9</xdr:row>
                    <xdr:rowOff>19050</xdr:rowOff>
                  </to>
                </anchor>
              </controlPr>
            </control>
          </mc:Choice>
        </mc:AlternateContent>
        <mc:AlternateContent xmlns:mc="http://schemas.openxmlformats.org/markup-compatibility/2006">
          <mc:Choice Requires="x14">
            <control shapeId="16389" r:id="rId7" name="Button 5">
              <controlPr defaultSize="0" print="0" autoFill="0" autoPict="0" macro="[0]!goToSimulation">
                <anchor moveWithCells="1" sizeWithCells="1">
                  <from>
                    <xdr:col>6</xdr:col>
                    <xdr:colOff>6350</xdr:colOff>
                    <xdr:row>9</xdr:row>
                    <xdr:rowOff>171450</xdr:rowOff>
                  </from>
                  <to>
                    <xdr:col>8</xdr:col>
                    <xdr:colOff>12700</xdr:colOff>
                    <xdr:row>10</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7B11F-364E-4F63-85D4-5A8C99E9AE31}">
  <sheetPr codeName="Sheet4">
    <tabColor theme="9" tint="0.79998168889431442"/>
    <pageSetUpPr fitToPage="1"/>
  </sheetPr>
  <dimension ref="A1:Y32"/>
  <sheetViews>
    <sheetView topLeftCell="B2" workbookViewId="0">
      <selection activeCell="E8" sqref="E8"/>
    </sheetView>
  </sheetViews>
  <sheetFormatPr defaultColWidth="0" defaultRowHeight="12" zeroHeight="1" x14ac:dyDescent="0.3"/>
  <cols>
    <col min="1" max="1" width="0" style="56" hidden="1" customWidth="1"/>
    <col min="2" max="2" width="18.26953125" style="56" customWidth="1"/>
    <col min="3" max="3" width="16.453125" style="57" customWidth="1"/>
    <col min="4" max="4" width="16.90625" style="56" customWidth="1"/>
    <col min="5" max="5" width="16.81640625" style="56" customWidth="1"/>
    <col min="6" max="6" width="18.453125" style="56" customWidth="1"/>
    <col min="7" max="7" width="16.36328125" style="56" customWidth="1"/>
    <col min="8" max="8" width="4.26953125" style="59" hidden="1" customWidth="1"/>
    <col min="9" max="9" width="19.26953125" style="56" hidden="1" customWidth="1"/>
    <col min="10" max="10" width="14.7265625" style="56" hidden="1" customWidth="1"/>
    <col min="11" max="11" width="13.453125" style="56" hidden="1" customWidth="1"/>
    <col min="12" max="12" width="15.6328125" style="56" hidden="1" customWidth="1"/>
    <col min="13" max="13" width="12.08984375" style="56" hidden="1" customWidth="1"/>
    <col min="14" max="14" width="4.26953125" style="59" hidden="1" customWidth="1"/>
    <col min="15" max="15" width="14.08984375" style="56" hidden="1" customWidth="1"/>
    <col min="16" max="16" width="10.6328125" style="56" hidden="1" customWidth="1"/>
    <col min="17" max="17" width="12.453125" style="56" hidden="1" customWidth="1"/>
    <col min="18" max="25" width="0" style="56" hidden="1" customWidth="1"/>
    <col min="26" max="16384" width="8.7265625" style="56" hidden="1"/>
  </cols>
  <sheetData>
    <row r="1" spans="2:22" hidden="1" x14ac:dyDescent="0.3">
      <c r="D1" s="58"/>
      <c r="E1" s="58"/>
      <c r="F1" s="58"/>
      <c r="G1" s="58"/>
    </row>
    <row r="2" spans="2:22" x14ac:dyDescent="0.3">
      <c r="C2" s="56"/>
      <c r="F2" s="58"/>
      <c r="G2" s="58"/>
    </row>
    <row r="3" spans="2:22" x14ac:dyDescent="0.3">
      <c r="C3" s="171" t="s">
        <v>497</v>
      </c>
      <c r="D3" s="172" t="s">
        <v>494</v>
      </c>
      <c r="E3" s="172" t="s">
        <v>495</v>
      </c>
      <c r="F3" s="58"/>
      <c r="G3" s="58"/>
    </row>
    <row r="4" spans="2:22" ht="14.5" customHeight="1" thickBot="1" x14ac:dyDescent="0.35">
      <c r="C4" s="171"/>
      <c r="D4" s="172"/>
      <c r="E4" s="172"/>
      <c r="F4" s="58"/>
      <c r="G4" s="58"/>
      <c r="H4" s="60"/>
    </row>
    <row r="5" spans="2:22" ht="21" customHeight="1" x14ac:dyDescent="0.3">
      <c r="C5" s="61" t="s">
        <v>498</v>
      </c>
      <c r="D5" s="62">
        <v>0.03</v>
      </c>
      <c r="E5" s="62">
        <v>1.4E-2</v>
      </c>
      <c r="F5" s="58"/>
      <c r="G5" s="58"/>
      <c r="H5" s="63"/>
      <c r="P5" s="64"/>
      <c r="Q5" s="64"/>
    </row>
    <row r="6" spans="2:22" x14ac:dyDescent="0.3">
      <c r="C6" s="61" t="s">
        <v>499</v>
      </c>
      <c r="D6" s="62">
        <v>1.95E-2</v>
      </c>
      <c r="E6" s="62">
        <v>0.02</v>
      </c>
      <c r="F6" s="58"/>
      <c r="G6" s="58"/>
      <c r="H6" s="60"/>
    </row>
    <row r="7" spans="2:22" x14ac:dyDescent="0.3">
      <c r="C7" s="61" t="s">
        <v>500</v>
      </c>
      <c r="D7" s="62">
        <v>0.01</v>
      </c>
      <c r="E7" s="62">
        <v>2.5000000000000001E-2</v>
      </c>
      <c r="F7" s="58"/>
      <c r="G7" s="58"/>
      <c r="H7" s="60"/>
    </row>
    <row r="8" spans="2:22" x14ac:dyDescent="0.3">
      <c r="C8" s="61" t="s">
        <v>569</v>
      </c>
      <c r="D8" s="65">
        <f ca="1">_xlfn.NORM.INV(RAND(),'1.InputData'!B$6,'1.InputData'!B$7)</f>
        <v>1.0761843455994206E-2</v>
      </c>
      <c r="E8" s="65">
        <f ca="1">_xlfn.NORM.INV(RAND(),'1.InputData'!C$6,'1.InputData'!C$7)</f>
        <v>1.4652721880016442E-2</v>
      </c>
      <c r="F8" s="58"/>
      <c r="G8" s="58"/>
      <c r="H8" s="60"/>
    </row>
    <row r="9" spans="2:22" x14ac:dyDescent="0.3">
      <c r="F9" s="58"/>
      <c r="G9" s="58"/>
      <c r="H9" s="60"/>
    </row>
    <row r="10" spans="2:22" ht="10" customHeight="1" thickBot="1" x14ac:dyDescent="0.35">
      <c r="C10" s="56"/>
      <c r="H10" s="60"/>
      <c r="P10" s="66"/>
      <c r="Q10" s="66"/>
    </row>
    <row r="11" spans="2:22" ht="24.5" customHeight="1" x14ac:dyDescent="0.3">
      <c r="C11" s="67" t="s">
        <v>512</v>
      </c>
      <c r="D11" s="68" t="s">
        <v>500</v>
      </c>
    </row>
    <row r="12" spans="2:22" ht="24.5" customHeight="1" thickBot="1" x14ac:dyDescent="0.35">
      <c r="B12" s="84" t="s">
        <v>496</v>
      </c>
      <c r="C12" s="23"/>
      <c r="D12" s="23"/>
      <c r="E12" s="84" t="s">
        <v>510</v>
      </c>
      <c r="F12" s="85">
        <v>0.05</v>
      </c>
    </row>
    <row r="13" spans="2:22" x14ac:dyDescent="0.3">
      <c r="B13" s="20" t="s">
        <v>511</v>
      </c>
      <c r="C13" s="174" t="s">
        <v>574</v>
      </c>
      <c r="D13" s="174"/>
      <c r="E13" s="174" t="s">
        <v>575</v>
      </c>
      <c r="F13" s="174"/>
      <c r="I13" s="70"/>
      <c r="P13" s="71"/>
      <c r="Q13" s="71"/>
      <c r="R13" s="71"/>
      <c r="S13" s="71"/>
      <c r="T13" s="71"/>
      <c r="U13" s="71"/>
    </row>
    <row r="14" spans="2:22" x14ac:dyDescent="0.3">
      <c r="B14" s="23"/>
      <c r="C14" s="24" t="s">
        <v>509</v>
      </c>
      <c r="D14" s="24" t="s">
        <v>501</v>
      </c>
      <c r="E14" s="24" t="s">
        <v>509</v>
      </c>
      <c r="F14" s="24" t="s">
        <v>501</v>
      </c>
      <c r="I14" s="72"/>
      <c r="J14" s="73"/>
      <c r="K14" s="73"/>
      <c r="L14" s="74"/>
    </row>
    <row r="15" spans="2:22" x14ac:dyDescent="0.3">
      <c r="B15" s="28" t="s">
        <v>513</v>
      </c>
      <c r="C15" s="86">
        <f>VLOOKUP(D11,C5:E8,2,FALSE)</f>
        <v>0.01</v>
      </c>
      <c r="D15" s="86">
        <f>VLOOKUP(D11,C5:E8,3,FALSE)</f>
        <v>2.5000000000000001E-2</v>
      </c>
      <c r="E15" s="52">
        <f>C15</f>
        <v>0.01</v>
      </c>
      <c r="F15" s="52">
        <f>D15</f>
        <v>2.5000000000000001E-2</v>
      </c>
      <c r="I15" s="75"/>
      <c r="J15" s="73"/>
      <c r="K15" s="73"/>
      <c r="L15" s="74"/>
    </row>
    <row r="16" spans="2:22" ht="12.5" thickBot="1" x14ac:dyDescent="0.35">
      <c r="B16" s="28" t="s">
        <v>514</v>
      </c>
      <c r="C16" s="29">
        <f ca="1">('1.InputData'!B$6-C$15)/('1.InputData'!B$7/SQRT('1.InputData'!B$8))</f>
        <v>9.767963114157148E-2</v>
      </c>
      <c r="D16" s="29">
        <f ca="1">('1.InputData'!C$6-D$15)/('1.InputData'!C$7/SQRT('1.InputData'!C$8))</f>
        <v>-4.4028317168899713</v>
      </c>
      <c r="E16" s="29">
        <f ca="1">('1.InputData'!D$6-E$15)/('1.InputData'!D$7/SQRT('1.InputData'!D$8))</f>
        <v>9.767963114157148E-2</v>
      </c>
      <c r="F16" s="29">
        <f ca="1">('1.InputData'!E$6-F$15)/('1.InputData'!E$7/SQRT('1.InputData'!E$8))</f>
        <v>-4.4028317168899713</v>
      </c>
      <c r="I16" s="75"/>
      <c r="J16" s="73"/>
      <c r="K16" s="73"/>
      <c r="L16" s="76"/>
      <c r="Q16" s="66"/>
      <c r="R16" s="66"/>
      <c r="S16" s="66"/>
      <c r="T16" s="66"/>
      <c r="U16" s="66"/>
      <c r="V16" s="66"/>
    </row>
    <row r="17" spans="2:25" ht="12.5" thickBot="1" x14ac:dyDescent="0.35">
      <c r="B17" s="28" t="s">
        <v>515</v>
      </c>
      <c r="C17" s="29">
        <f ca="1">(_xlfn.T.INV(1-$F$12/2,'1.InputData'!B$10))</f>
        <v>2.0859634472658648</v>
      </c>
      <c r="D17" s="29">
        <f ca="1">(_xlfn.T.INV(1-$F$12/2,'1.InputData'!C$10))</f>
        <v>2.0859634472658648</v>
      </c>
      <c r="E17" s="29">
        <f ca="1">(_xlfn.T.INV(1-$F$12/2,'1.InputData'!D$10))</f>
        <v>2.0859634472658648</v>
      </c>
      <c r="F17" s="29">
        <f ca="1">(_xlfn.T.INV(1-$F$12/2,'1.InputData'!E$10))</f>
        <v>2.0859634472658648</v>
      </c>
      <c r="I17" s="75"/>
      <c r="J17" s="73"/>
      <c r="K17" s="73"/>
      <c r="L17" s="76"/>
    </row>
    <row r="18" spans="2:25" ht="33.5" customHeight="1" x14ac:dyDescent="0.3">
      <c r="B18" s="87" t="s">
        <v>591</v>
      </c>
      <c r="C18" s="88">
        <f ca="1">2*(1-_xlfn.T.DIST(ABS(C$16),'1.InputData'!B$10,TRUE))</f>
        <v>0.92315898725143364</v>
      </c>
      <c r="D18" s="88">
        <f ca="1">2*(1-_xlfn.T.DIST(ABS(D$16),'1.InputData'!C$10,TRUE))</f>
        <v>2.7439898804648699E-4</v>
      </c>
      <c r="E18" s="88">
        <f ca="1">2*(1-_xlfn.T.DIST(ABS(E$16),'1.InputData'!D$10,TRUE))</f>
        <v>0.92315898725143364</v>
      </c>
      <c r="F18" s="88">
        <f ca="1">2*(1-_xlfn.T.DIST(ABS(F$16),'1.InputData'!E$10,TRUE))</f>
        <v>2.7439898804648699E-4</v>
      </c>
      <c r="I18" s="75"/>
      <c r="J18" s="73"/>
      <c r="K18" s="73"/>
      <c r="L18" s="76"/>
      <c r="Q18" s="71"/>
      <c r="R18" s="71"/>
      <c r="S18" s="71"/>
      <c r="T18" s="71"/>
      <c r="U18" s="71"/>
      <c r="V18" s="71"/>
      <c r="W18" s="71"/>
      <c r="X18" s="71"/>
      <c r="Y18" s="71"/>
    </row>
    <row r="19" spans="2:25" x14ac:dyDescent="0.3">
      <c r="B19" s="89" t="s">
        <v>517</v>
      </c>
      <c r="C19" s="90" t="str">
        <f ca="1">IF(C18&gt;0.05, "inputs are plausible", "inputs are not plausible")</f>
        <v>inputs are plausible</v>
      </c>
      <c r="D19" s="90" t="str">
        <f t="shared" ref="D19:F19" ca="1" si="0">IF(D18&gt;0.05, "inputs are plausible", "inputs are not plausible")</f>
        <v>inputs are not plausible</v>
      </c>
      <c r="E19" s="90" t="str">
        <f t="shared" ca="1" si="0"/>
        <v>inputs are plausible</v>
      </c>
      <c r="F19" s="90" t="str">
        <f t="shared" ca="1" si="0"/>
        <v>inputs are not plausible</v>
      </c>
    </row>
    <row r="20" spans="2:25" ht="12.5" customHeight="1" thickBot="1" x14ac:dyDescent="0.35">
      <c r="C20" s="56"/>
      <c r="I20" s="173"/>
      <c r="J20" s="173"/>
      <c r="K20" s="173"/>
      <c r="L20" s="173"/>
      <c r="Q20" s="66"/>
      <c r="R20" s="66"/>
      <c r="S20" s="66"/>
      <c r="T20" s="66"/>
      <c r="U20" s="66"/>
      <c r="V20" s="66"/>
      <c r="W20" s="66"/>
      <c r="X20" s="66"/>
      <c r="Y20" s="66"/>
    </row>
    <row r="21" spans="2:25" ht="16" customHeight="1" x14ac:dyDescent="0.3">
      <c r="I21" s="173"/>
      <c r="J21" s="173"/>
      <c r="K21" s="173"/>
      <c r="L21" s="173"/>
    </row>
    <row r="22" spans="2:25" ht="35" customHeight="1" x14ac:dyDescent="0.3">
      <c r="G22" s="77"/>
    </row>
    <row r="23" spans="2:25" x14ac:dyDescent="0.3">
      <c r="G23" s="77"/>
    </row>
    <row r="24" spans="2:25" x14ac:dyDescent="0.3">
      <c r="G24" s="77"/>
    </row>
    <row r="25" spans="2:25" x14ac:dyDescent="0.3">
      <c r="G25" s="77"/>
    </row>
    <row r="26" spans="2:25" x14ac:dyDescent="0.3">
      <c r="G26" s="77"/>
    </row>
    <row r="27" spans="2:25" x14ac:dyDescent="0.3">
      <c r="G27" s="77"/>
    </row>
    <row r="28" spans="2:25" x14ac:dyDescent="0.3">
      <c r="G28" s="77"/>
    </row>
    <row r="29" spans="2:25" x14ac:dyDescent="0.3">
      <c r="G29" s="77"/>
    </row>
    <row r="30" spans="2:25" hidden="1" x14ac:dyDescent="0.3">
      <c r="G30" s="77"/>
    </row>
    <row r="31" spans="2:25" hidden="1" x14ac:dyDescent="0.3">
      <c r="G31" s="77"/>
    </row>
    <row r="32" spans="2:25" hidden="1" x14ac:dyDescent="0.3">
      <c r="G32" s="77"/>
    </row>
  </sheetData>
  <sheetProtection selectLockedCells="1" sort="0" autoFilter="0"/>
  <mergeCells count="6">
    <mergeCell ref="C3:C4"/>
    <mergeCell ref="D3:D4"/>
    <mergeCell ref="E3:E4"/>
    <mergeCell ref="I20:L21"/>
    <mergeCell ref="C13:D13"/>
    <mergeCell ref="E13:F13"/>
  </mergeCells>
  <conditionalFormatting sqref="C19:F19">
    <cfRule type="containsText" dxfId="1" priority="1" operator="containsText" text="not">
      <formula>NOT(ISERROR(SEARCH("not",C19)))</formula>
    </cfRule>
  </conditionalFormatting>
  <dataValidations count="1">
    <dataValidation type="list" allowBlank="1" showInputMessage="1" showErrorMessage="1" sqref="D11" xr:uid="{E3273B99-44EB-4D79-ACAE-3F18F1522719}">
      <formula1>$C$5:$C$8</formula1>
    </dataValidation>
  </dataValidations>
  <pageMargins left="0.7" right="0.7" top="0.75" bottom="0.75" header="0.3" footer="0.3"/>
  <pageSetup paperSize="9" scale="8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goToSimulation">
                <anchor moveWithCells="1" sizeWithCells="1">
                  <from>
                    <xdr:col>5</xdr:col>
                    <xdr:colOff>673100</xdr:colOff>
                    <xdr:row>6</xdr:row>
                    <xdr:rowOff>19050</xdr:rowOff>
                  </from>
                  <to>
                    <xdr:col>6</xdr:col>
                    <xdr:colOff>965200</xdr:colOff>
                    <xdr:row>7</xdr:row>
                    <xdr:rowOff>76200</xdr:rowOff>
                  </to>
                </anchor>
              </controlPr>
            </control>
          </mc:Choice>
        </mc:AlternateContent>
        <mc:AlternateContent xmlns:mc="http://schemas.openxmlformats.org/markup-compatibility/2006">
          <mc:Choice Requires="x14">
            <control shapeId="11271" r:id="rId5" name="Button 7">
              <controlPr defaultSize="0" print="0" autoFill="0" autoPict="0" macro="[0]!goToCashFlow">
                <anchor moveWithCells="1" sizeWithCells="1">
                  <from>
                    <xdr:col>5</xdr:col>
                    <xdr:colOff>660400</xdr:colOff>
                    <xdr:row>4</xdr:row>
                    <xdr:rowOff>190500</xdr:rowOff>
                  </from>
                  <to>
                    <xdr:col>6</xdr:col>
                    <xdr:colOff>939800</xdr:colOff>
                    <xdr:row>5</xdr:row>
                    <xdr:rowOff>114300</xdr:rowOff>
                  </to>
                </anchor>
              </controlPr>
            </control>
          </mc:Choice>
        </mc:AlternateContent>
        <mc:AlternateContent xmlns:mc="http://schemas.openxmlformats.org/markup-compatibility/2006">
          <mc:Choice Requires="x14">
            <control shapeId="11272" r:id="rId6" name="Button 8">
              <controlPr defaultSize="0" print="0" autoFill="0" autoPict="0" macro="[0]!goToLinear">
                <anchor moveWithCells="1" sizeWithCells="1">
                  <from>
                    <xdr:col>5</xdr:col>
                    <xdr:colOff>647700</xdr:colOff>
                    <xdr:row>3</xdr:row>
                    <xdr:rowOff>120650</xdr:rowOff>
                  </from>
                  <to>
                    <xdr:col>6</xdr:col>
                    <xdr:colOff>920750</xdr:colOff>
                    <xdr:row>4</xdr:row>
                    <xdr:rowOff>139700</xdr:rowOff>
                  </to>
                </anchor>
              </controlPr>
            </control>
          </mc:Choice>
        </mc:AlternateContent>
        <mc:AlternateContent xmlns:mc="http://schemas.openxmlformats.org/markup-compatibility/2006">
          <mc:Choice Requires="x14">
            <control shapeId="11273" r:id="rId7" name="Button 9">
              <controlPr defaultSize="0" print="0" autoFill="0" autoPict="0" macro="[0]!goToInputData">
                <anchor moveWithCells="1" sizeWithCells="1">
                  <from>
                    <xdr:col>5</xdr:col>
                    <xdr:colOff>679450</xdr:colOff>
                    <xdr:row>2</xdr:row>
                    <xdr:rowOff>50800</xdr:rowOff>
                  </from>
                  <to>
                    <xdr:col>6</xdr:col>
                    <xdr:colOff>927100</xdr:colOff>
                    <xdr:row>3</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27519-E615-46A7-A8D4-4C8F4626F8B3}">
  <sheetPr codeName="Sheet6">
    <tabColor theme="9" tint="0.59999389629810485"/>
  </sheetPr>
  <dimension ref="A1:X35"/>
  <sheetViews>
    <sheetView workbookViewId="0">
      <selection activeCell="E16" sqref="E16"/>
    </sheetView>
  </sheetViews>
  <sheetFormatPr defaultColWidth="0" defaultRowHeight="12" zeroHeight="1" x14ac:dyDescent="0.3"/>
  <cols>
    <col min="1" max="1" width="14.90625" style="56" customWidth="1"/>
    <col min="2" max="2" width="10.36328125" style="56" customWidth="1"/>
    <col min="3" max="3" width="9.453125" style="56" customWidth="1"/>
    <col min="4" max="4" width="14.453125" style="56" customWidth="1"/>
    <col min="5" max="5" width="10.90625" style="56" customWidth="1"/>
    <col min="6" max="6" width="13.453125" style="56" customWidth="1"/>
    <col min="7" max="7" width="12.453125" style="56" customWidth="1"/>
    <col min="8" max="8" width="10.6328125" style="56" customWidth="1"/>
    <col min="9" max="9" width="12.453125" style="56" customWidth="1"/>
    <col min="10" max="10" width="8.7265625" style="56" customWidth="1"/>
    <col min="11" max="16" width="8.7265625" style="56" hidden="1" customWidth="1"/>
    <col min="17" max="24" width="0" style="56" hidden="1" customWidth="1"/>
    <col min="25" max="16384" width="8.7265625" style="56" hidden="1"/>
  </cols>
  <sheetData>
    <row r="1" spans="1:13" x14ac:dyDescent="0.3"/>
    <row r="2" spans="1:13" ht="20.5" customHeight="1" x14ac:dyDescent="0.3">
      <c r="A2" s="91" t="s">
        <v>543</v>
      </c>
    </row>
    <row r="3" spans="1:13" ht="20.5" customHeight="1" x14ac:dyDescent="0.3">
      <c r="A3" s="92" t="s">
        <v>582</v>
      </c>
    </row>
    <row r="4" spans="1:13" s="69" customFormat="1" ht="18.5" customHeight="1" x14ac:dyDescent="0.35">
      <c r="A4" s="96" t="s">
        <v>589</v>
      </c>
      <c r="B4" s="97" cm="1">
        <f t="array" aca="1" ref="B4:C8" ca="1">LINEST('1.InputData'!B14:B34,'1.InputData'!C14:C34,TRUE,TRUE)</f>
        <v>0.89072481489739408</v>
      </c>
      <c r="C4" s="98">
        <f ca="1"/>
        <v>-4.0029714761264535E-3</v>
      </c>
      <c r="D4" s="99" t="s">
        <v>590</v>
      </c>
    </row>
    <row r="5" spans="1:13" s="69" customFormat="1" ht="14.5" customHeight="1" x14ac:dyDescent="0.35">
      <c r="A5" s="100" t="s">
        <v>585</v>
      </c>
      <c r="B5" s="101">
        <f ca="1"/>
        <v>0.46041204995975421</v>
      </c>
      <c r="C5" s="101">
        <f ca="1"/>
        <v>8.5190653883629366E-3</v>
      </c>
      <c r="D5" s="102" t="s">
        <v>552</v>
      </c>
    </row>
    <row r="6" spans="1:13" s="69" customFormat="1" ht="17" customHeight="1" x14ac:dyDescent="0.35">
      <c r="A6" s="103" t="s">
        <v>550</v>
      </c>
      <c r="B6" s="104">
        <f ca="1"/>
        <v>0.16456985330896914</v>
      </c>
      <c r="C6" s="101">
        <f ca="1"/>
        <v>1.885480824221154E-2</v>
      </c>
      <c r="D6" s="105" t="s">
        <v>547</v>
      </c>
      <c r="H6" s="93"/>
      <c r="I6" s="93"/>
    </row>
    <row r="7" spans="1:13" s="69" customFormat="1" ht="17" customHeight="1" x14ac:dyDescent="0.35">
      <c r="A7" s="100" t="s">
        <v>545</v>
      </c>
      <c r="B7" s="101">
        <f ca="1"/>
        <v>3.7427751742681794</v>
      </c>
      <c r="C7" s="101">
        <f ca="1"/>
        <v>19</v>
      </c>
      <c r="D7" s="105" t="s">
        <v>548</v>
      </c>
    </row>
    <row r="8" spans="1:13" s="69" customFormat="1" ht="15.5" customHeight="1" x14ac:dyDescent="0.35">
      <c r="A8" s="100" t="s">
        <v>546</v>
      </c>
      <c r="B8" s="101">
        <f ca="1"/>
        <v>1.3305707739820595E-3</v>
      </c>
      <c r="C8" s="101">
        <f ca="1"/>
        <v>6.7545720831607972E-3</v>
      </c>
      <c r="D8" s="105" t="s">
        <v>549</v>
      </c>
    </row>
    <row r="9" spans="1:13" x14ac:dyDescent="0.3"/>
    <row r="10" spans="1:13" ht="12" customHeight="1" x14ac:dyDescent="0.3">
      <c r="A10" s="175" t="s">
        <v>587</v>
      </c>
      <c r="B10" s="175"/>
      <c r="C10" s="175"/>
      <c r="D10" s="175"/>
      <c r="E10" s="175"/>
    </row>
    <row r="11" spans="1:13" ht="13" customHeight="1" x14ac:dyDescent="0.3">
      <c r="A11" s="175"/>
      <c r="B11" s="175"/>
      <c r="C11" s="175"/>
      <c r="D11" s="175"/>
      <c r="E11" s="175"/>
    </row>
    <row r="12" spans="1:13" ht="19.5" customHeight="1" x14ac:dyDescent="0.3"/>
    <row r="13" spans="1:13" x14ac:dyDescent="0.3">
      <c r="A13" s="94" t="s">
        <v>583</v>
      </c>
    </row>
    <row r="14" spans="1:13" x14ac:dyDescent="0.3">
      <c r="H14" s="95"/>
      <c r="I14" s="95"/>
      <c r="J14" s="95"/>
      <c r="K14" s="95"/>
      <c r="L14" s="95"/>
      <c r="M14" s="95"/>
    </row>
    <row r="15" spans="1:13" x14ac:dyDescent="0.3">
      <c r="A15" s="56" t="s">
        <v>518</v>
      </c>
    </row>
    <row r="16" spans="1:13" ht="12.5" thickBot="1" x14ac:dyDescent="0.35"/>
    <row r="17" spans="1:17" x14ac:dyDescent="0.3">
      <c r="A17" s="64" t="s">
        <v>519</v>
      </c>
      <c r="B17" s="64"/>
    </row>
    <row r="18" spans="1:17" x14ac:dyDescent="0.3">
      <c r="A18" s="56" t="s">
        <v>520</v>
      </c>
      <c r="B18" s="56">
        <v>0.40567210072787746</v>
      </c>
    </row>
    <row r="19" spans="1:17" x14ac:dyDescent="0.3">
      <c r="A19" s="56" t="s">
        <v>521</v>
      </c>
      <c r="B19" s="56">
        <v>0.16456985330896914</v>
      </c>
      <c r="J19" s="95"/>
      <c r="K19" s="95"/>
      <c r="L19" s="95"/>
      <c r="M19" s="95"/>
      <c r="N19" s="95"/>
      <c r="O19" s="95"/>
      <c r="P19" s="95"/>
      <c r="Q19" s="95"/>
    </row>
    <row r="20" spans="1:17" x14ac:dyDescent="0.3">
      <c r="A20" s="56" t="s">
        <v>522</v>
      </c>
      <c r="B20" s="56">
        <v>0.12059984558838857</v>
      </c>
    </row>
    <row r="21" spans="1:17" ht="12.5" customHeight="1" x14ac:dyDescent="0.3">
      <c r="A21" s="56" t="s">
        <v>523</v>
      </c>
      <c r="B21" s="56">
        <v>1.885480824221154E-2</v>
      </c>
    </row>
    <row r="22" spans="1:17" ht="16" customHeight="1" thickBot="1" x14ac:dyDescent="0.35">
      <c r="A22" s="66" t="s">
        <v>524</v>
      </c>
      <c r="B22" s="66">
        <v>21</v>
      </c>
    </row>
    <row r="23" spans="1:17" ht="28" customHeight="1" x14ac:dyDescent="0.3"/>
    <row r="24" spans="1:17" ht="12.5" thickBot="1" x14ac:dyDescent="0.35">
      <c r="A24" s="56" t="s">
        <v>525</v>
      </c>
    </row>
    <row r="25" spans="1:17" x14ac:dyDescent="0.3">
      <c r="A25" s="71"/>
      <c r="B25" s="71" t="s">
        <v>530</v>
      </c>
      <c r="C25" s="71" t="s">
        <v>531</v>
      </c>
      <c r="D25" s="71" t="s">
        <v>532</v>
      </c>
      <c r="E25" s="71" t="s">
        <v>533</v>
      </c>
      <c r="F25" s="71" t="s">
        <v>534</v>
      </c>
    </row>
    <row r="26" spans="1:17" x14ac:dyDescent="0.3">
      <c r="A26" s="56" t="s">
        <v>526</v>
      </c>
      <c r="B26" s="56">
        <v>1</v>
      </c>
      <c r="C26" s="56">
        <v>1.3305707739820595E-3</v>
      </c>
      <c r="D26" s="56">
        <v>1.3305707739820595E-3</v>
      </c>
      <c r="E26" s="56">
        <v>3.7427751742681794</v>
      </c>
      <c r="F26" s="56">
        <v>6.80676174971728E-2</v>
      </c>
    </row>
    <row r="27" spans="1:17" x14ac:dyDescent="0.3">
      <c r="A27" s="56" t="s">
        <v>527</v>
      </c>
      <c r="B27" s="56">
        <v>19</v>
      </c>
      <c r="C27" s="56">
        <v>6.7545720831607972E-3</v>
      </c>
      <c r="D27" s="56">
        <v>3.5550379385056825E-4</v>
      </c>
    </row>
    <row r="28" spans="1:17" ht="12.5" thickBot="1" x14ac:dyDescent="0.35">
      <c r="A28" s="66" t="s">
        <v>528</v>
      </c>
      <c r="B28" s="66">
        <v>20</v>
      </c>
      <c r="C28" s="66">
        <v>8.0851428571428567E-3</v>
      </c>
      <c r="D28" s="66"/>
      <c r="E28" s="66"/>
      <c r="F28" s="66"/>
    </row>
    <row r="29" spans="1:17" ht="12.5" thickBot="1" x14ac:dyDescent="0.35"/>
    <row r="30" spans="1:17" x14ac:dyDescent="0.3">
      <c r="A30" s="71"/>
      <c r="B30" s="71" t="s">
        <v>535</v>
      </c>
      <c r="C30" s="71" t="s">
        <v>523</v>
      </c>
      <c r="D30" s="71" t="s">
        <v>536</v>
      </c>
      <c r="E30" s="71" t="s">
        <v>537</v>
      </c>
      <c r="F30" s="71" t="s">
        <v>538</v>
      </c>
      <c r="G30" s="71" t="s">
        <v>539</v>
      </c>
      <c r="H30" s="71" t="s">
        <v>540</v>
      </c>
      <c r="I30" s="71" t="s">
        <v>541</v>
      </c>
    </row>
    <row r="31" spans="1:17" x14ac:dyDescent="0.3">
      <c r="A31" s="56" t="s">
        <v>529</v>
      </c>
      <c r="B31" s="56">
        <v>-4.0029714761264535E-3</v>
      </c>
      <c r="C31" s="56">
        <v>8.5190653883629366E-3</v>
      </c>
      <c r="D31" s="56">
        <v>-0.46988387735519932</v>
      </c>
      <c r="E31" s="56">
        <v>0.64378612716816996</v>
      </c>
      <c r="F31" s="56">
        <v>-2.183358025504735E-2</v>
      </c>
      <c r="G31" s="56">
        <v>1.3827637302794441E-2</v>
      </c>
      <c r="H31" s="56">
        <v>-2.183358025504735E-2</v>
      </c>
      <c r="I31" s="56">
        <v>1.3827637302794441E-2</v>
      </c>
    </row>
    <row r="32" spans="1:17" ht="12.5" thickBot="1" x14ac:dyDescent="0.35">
      <c r="A32" s="66" t="s">
        <v>542</v>
      </c>
      <c r="B32" s="66">
        <v>0.89072481489739408</v>
      </c>
      <c r="C32" s="66">
        <v>0.46041204995975421</v>
      </c>
      <c r="D32" s="66">
        <v>1.9346253317550108</v>
      </c>
      <c r="E32" s="66">
        <v>6.8067617497172578E-2</v>
      </c>
      <c r="F32" s="66">
        <v>-7.292868060781188E-2</v>
      </c>
      <c r="G32" s="66">
        <v>1.8543783104026001</v>
      </c>
      <c r="H32" s="66">
        <v>-7.292868060781188E-2</v>
      </c>
      <c r="I32" s="66">
        <v>1.8543783104026001</v>
      </c>
    </row>
    <row r="33" spans="1:9" x14ac:dyDescent="0.3"/>
    <row r="34" spans="1:9" ht="14.5" x14ac:dyDescent="0.35">
      <c r="A34" s="54"/>
      <c r="B34" s="54"/>
      <c r="C34" s="54"/>
      <c r="D34" s="54"/>
      <c r="E34" s="54"/>
      <c r="F34" s="54"/>
      <c r="G34" s="54"/>
      <c r="H34" s="54"/>
      <c r="I34" s="54"/>
    </row>
    <row r="35" spans="1:9" ht="14.5" x14ac:dyDescent="0.35">
      <c r="A35" s="54"/>
      <c r="B35" s="54"/>
      <c r="C35" s="54"/>
      <c r="D35" s="54"/>
      <c r="E35" s="54"/>
      <c r="F35" s="54"/>
      <c r="G35" s="54"/>
      <c r="H35" s="54"/>
      <c r="I35" s="54"/>
    </row>
  </sheetData>
  <sheetProtection sheet="1" selectLockedCells="1" sort="0" autoFilter="0"/>
  <mergeCells count="1">
    <mergeCell ref="A10:E11"/>
  </mergeCell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Forward">
                <anchor moveWithCells="1" sizeWithCells="1">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goToScenarios">
                <anchor moveWithCells="1" sizeWithCells="1">
                  <from>
                    <xdr:col>4</xdr:col>
                    <xdr:colOff>647700</xdr:colOff>
                    <xdr:row>3</xdr:row>
                    <xdr:rowOff>6350</xdr:rowOff>
                  </from>
                  <to>
                    <xdr:col>6</xdr:col>
                    <xdr:colOff>171450</xdr:colOff>
                    <xdr:row>4</xdr:row>
                    <xdr:rowOff>50800</xdr:rowOff>
                  </to>
                </anchor>
              </controlPr>
            </control>
          </mc:Choice>
        </mc:AlternateContent>
        <mc:AlternateContent xmlns:mc="http://schemas.openxmlformats.org/markup-compatibility/2006">
          <mc:Choice Requires="x14">
            <control shapeId="13315" r:id="rId6" name="Button 3">
              <controlPr defaultSize="0" print="0" autoFill="0" autoPict="0" macro="[0]!goToCashFlow">
                <anchor moveWithCells="1" sizeWithCells="1">
                  <from>
                    <xdr:col>4</xdr:col>
                    <xdr:colOff>641350</xdr:colOff>
                    <xdr:row>4</xdr:row>
                    <xdr:rowOff>127000</xdr:rowOff>
                  </from>
                  <to>
                    <xdr:col>6</xdr:col>
                    <xdr:colOff>177800</xdr:colOff>
                    <xdr:row>5</xdr:row>
                    <xdr:rowOff>133350</xdr:rowOff>
                  </to>
                </anchor>
              </controlPr>
            </control>
          </mc:Choice>
        </mc:AlternateContent>
        <mc:AlternateContent xmlns:mc="http://schemas.openxmlformats.org/markup-compatibility/2006">
          <mc:Choice Requires="x14">
            <control shapeId="13316" r:id="rId7" name="Button 4">
              <controlPr defaultSize="0" print="0" autoFill="0" autoPict="0" macro="[0]!goToSimulation">
                <anchor moveWithCells="1" sizeWithCells="1">
                  <from>
                    <xdr:col>4</xdr:col>
                    <xdr:colOff>647700</xdr:colOff>
                    <xdr:row>5</xdr:row>
                    <xdr:rowOff>234950</xdr:rowOff>
                  </from>
                  <to>
                    <xdr:col>6</xdr:col>
                    <xdr:colOff>196850</xdr:colOff>
                    <xdr:row>7</xdr:row>
                    <xdr:rowOff>25400</xdr:rowOff>
                  </to>
                </anchor>
              </controlPr>
            </control>
          </mc:Choice>
        </mc:AlternateContent>
        <mc:AlternateContent xmlns:mc="http://schemas.openxmlformats.org/markup-compatibility/2006">
          <mc:Choice Requires="x14">
            <control shapeId="13317" r:id="rId8" name="Button 5">
              <controlPr defaultSize="0" print="0" autoFill="0" autoPict="0" macro="[0]!goToInputData">
                <anchor moveWithCells="1" sizeWithCells="1">
                  <from>
                    <xdr:col>4</xdr:col>
                    <xdr:colOff>635000</xdr:colOff>
                    <xdr:row>2</xdr:row>
                    <xdr:rowOff>12700</xdr:rowOff>
                  </from>
                  <to>
                    <xdr:col>6</xdr:col>
                    <xdr:colOff>120650</xdr:colOff>
                    <xdr:row>2</xdr:row>
                    <xdr:rowOff>184150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979F0-8AF0-431E-B713-2D5BDF5EE6D6}">
  <sheetPr codeName="Sheet5"/>
  <dimension ref="A2:X44"/>
  <sheetViews>
    <sheetView workbookViewId="0">
      <selection activeCell="I7" sqref="I7"/>
    </sheetView>
  </sheetViews>
  <sheetFormatPr defaultRowHeight="12" x14ac:dyDescent="0.3"/>
  <cols>
    <col min="1" max="1" width="4" style="15" customWidth="1"/>
    <col min="2" max="2" width="13.54296875" style="17" customWidth="1"/>
    <col min="3" max="3" width="11.1796875" style="15" customWidth="1"/>
    <col min="4" max="5" width="10" style="15" customWidth="1"/>
    <col min="6" max="6" width="11.26953125" style="15" customWidth="1"/>
    <col min="7" max="7" width="4.26953125" style="47" customWidth="1"/>
    <col min="8" max="8" width="19.26953125" style="15" customWidth="1"/>
    <col min="9" max="9" width="14.7265625" style="15" customWidth="1"/>
    <col min="10" max="10" width="13.453125" style="15" customWidth="1"/>
    <col min="11" max="11" width="15.6328125" style="15" customWidth="1"/>
    <col min="12" max="12" width="12.08984375" style="15" customWidth="1"/>
    <col min="13" max="13" width="4.26953125" style="47" customWidth="1"/>
    <col min="14" max="14" width="14.08984375" style="15" customWidth="1"/>
    <col min="15" max="15" width="10.6328125" style="15" customWidth="1"/>
    <col min="16" max="16" width="12.453125" style="15" customWidth="1"/>
    <col min="17" max="16384" width="8.7265625" style="15"/>
  </cols>
  <sheetData>
    <row r="2" spans="2:21" x14ac:dyDescent="0.3">
      <c r="I2" s="18" t="s">
        <v>512</v>
      </c>
      <c r="J2" s="50" t="s">
        <v>498</v>
      </c>
    </row>
    <row r="3" spans="2:21" x14ac:dyDescent="0.3">
      <c r="B3" s="165"/>
      <c r="C3" s="177" t="s">
        <v>576</v>
      </c>
      <c r="D3" s="178"/>
      <c r="E3" s="181" t="s">
        <v>508</v>
      </c>
      <c r="F3" s="182"/>
      <c r="H3" s="18" t="s">
        <v>496</v>
      </c>
      <c r="K3" s="18" t="s">
        <v>510</v>
      </c>
      <c r="L3" s="19">
        <v>0.05</v>
      </c>
      <c r="N3" s="15" t="s">
        <v>518</v>
      </c>
    </row>
    <row r="4" spans="2:21" ht="14.5" customHeight="1" thickBot="1" x14ac:dyDescent="0.35">
      <c r="B4" s="166"/>
      <c r="C4" s="179"/>
      <c r="D4" s="180"/>
      <c r="E4" s="183"/>
      <c r="F4" s="184"/>
      <c r="G4" s="48"/>
      <c r="H4" s="20" t="s">
        <v>511</v>
      </c>
      <c r="I4" s="174" t="s">
        <v>574</v>
      </c>
      <c r="J4" s="174"/>
      <c r="K4" s="174" t="s">
        <v>575</v>
      </c>
      <c r="L4" s="174"/>
    </row>
    <row r="5" spans="2:21" ht="21" customHeight="1" x14ac:dyDescent="0.3">
      <c r="B5" s="21"/>
      <c r="C5" s="22" t="s">
        <v>509</v>
      </c>
      <c r="D5" s="22" t="s">
        <v>501</v>
      </c>
      <c r="E5" s="22" t="s">
        <v>509</v>
      </c>
      <c r="F5" s="22" t="s">
        <v>501</v>
      </c>
      <c r="G5" s="49"/>
      <c r="H5" s="23"/>
      <c r="I5" s="24" t="s">
        <v>509</v>
      </c>
      <c r="J5" s="24" t="s">
        <v>501</v>
      </c>
      <c r="K5" s="24" t="s">
        <v>509</v>
      </c>
      <c r="L5" s="24" t="s">
        <v>501</v>
      </c>
      <c r="O5" s="25" t="s">
        <v>519</v>
      </c>
      <c r="P5" s="25"/>
    </row>
    <row r="6" spans="2:21" x14ac:dyDescent="0.3">
      <c r="B6" s="26" t="s">
        <v>502</v>
      </c>
      <c r="C6" s="27">
        <f ca="1">AVERAGE(C23:C43)</f>
        <v>1.0428571428571431E-2</v>
      </c>
      <c r="D6" s="27">
        <f ca="1">AVERAGE(D23:D43)</f>
        <v>1.6202021840337196E-2</v>
      </c>
      <c r="E6" s="27">
        <f ca="1">SUBTOTAL(1,C23:C43)</f>
        <v>1.0428571428571431E-2</v>
      </c>
      <c r="F6" s="27">
        <f ca="1">SUBTOTAL(1,D23:D43)</f>
        <v>1.6202021840337196E-2</v>
      </c>
      <c r="G6" s="48"/>
      <c r="H6" s="28" t="s">
        <v>513</v>
      </c>
      <c r="I6" s="51">
        <f>VLOOKUP(J2,B16:D19,2,FALSE)</f>
        <v>4.2000000000000003E-2</v>
      </c>
      <c r="J6" s="51">
        <f>VLOOKUP(J2,B16:D19,3,FALSE)</f>
        <v>5.0000000000000001E-3</v>
      </c>
      <c r="K6" s="52">
        <f>I6</f>
        <v>4.2000000000000003E-2</v>
      </c>
      <c r="L6" s="52">
        <f>J6</f>
        <v>5.0000000000000001E-3</v>
      </c>
      <c r="O6" s="15" t="s">
        <v>520</v>
      </c>
      <c r="P6" s="15">
        <v>0.40567210072787746</v>
      </c>
    </row>
    <row r="7" spans="2:21" x14ac:dyDescent="0.3">
      <c r="B7" s="26" t="s">
        <v>503</v>
      </c>
      <c r="C7" s="27">
        <f ca="1">_xlfn.STDEV.S(C23:C43)</f>
        <v>2.0106146892359629E-2</v>
      </c>
      <c r="D7" s="27">
        <f ca="1">_xlfn.STDEV.S(D23:D43)</f>
        <v>9.1571523673182973E-3</v>
      </c>
      <c r="E7" s="27">
        <f ca="1">IF(E$8&gt;1,SUBTOTAL(7,C23:C43),"")</f>
        <v>2.0106146892359629E-2</v>
      </c>
      <c r="F7" s="27">
        <f ca="1">IF(F$8&gt;1,SUBTOTAL(7,D23:D43),"")</f>
        <v>9.1571523673182973E-3</v>
      </c>
      <c r="G7" s="48"/>
      <c r="H7" s="28" t="s">
        <v>514</v>
      </c>
      <c r="I7" s="29" t="e">
        <f ca="1">(#REF!-I6)/(C7/SQRT(C8))</f>
        <v>#REF!</v>
      </c>
      <c r="J7" s="29">
        <f ca="1">(D6-J6)/(D7/SQRT(D8))</f>
        <v>5.6059035561212447</v>
      </c>
      <c r="K7" s="29">
        <f ca="1">(E6-K6)/(E7/SQRT(E8))</f>
        <v>-7.1957328274290591</v>
      </c>
      <c r="L7" s="29">
        <f ca="1">(F6-L6)/(F7/SQRT(F8))</f>
        <v>5.6059035561212447</v>
      </c>
      <c r="O7" s="15" t="s">
        <v>521</v>
      </c>
      <c r="P7" s="15">
        <v>0.16456985330896914</v>
      </c>
    </row>
    <row r="8" spans="2:21" x14ac:dyDescent="0.3">
      <c r="B8" s="26" t="s">
        <v>504</v>
      </c>
      <c r="C8" s="30">
        <f ca="1">COUNT(C23:C43)</f>
        <v>21</v>
      </c>
      <c r="D8" s="30">
        <f ca="1">COUNT(D23:D43)</f>
        <v>21</v>
      </c>
      <c r="E8" s="30">
        <f ca="1">SUBTOTAL(2,C23:C43)</f>
        <v>21</v>
      </c>
      <c r="F8" s="30">
        <f ca="1">SUBTOTAL(2,D23:D43)</f>
        <v>21</v>
      </c>
      <c r="G8" s="48"/>
      <c r="H8" s="28" t="s">
        <v>515</v>
      </c>
      <c r="I8" s="29">
        <f ca="1">(_xlfn.T.INV(1-$L$3/2,C10))</f>
        <v>2.0859634472658648</v>
      </c>
      <c r="J8" s="29">
        <f ca="1">(_xlfn.T.INV(1-$L$3/2,D10))</f>
        <v>2.0859634472658648</v>
      </c>
      <c r="K8" s="29">
        <f ca="1">(_xlfn.T.INV(1-$L$3/2,E10))</f>
        <v>2.0859634472658648</v>
      </c>
      <c r="L8" s="29">
        <f ca="1">(_xlfn.T.INV(1-$L$3/2,F10))</f>
        <v>2.0859634472658648</v>
      </c>
      <c r="O8" s="15" t="s">
        <v>522</v>
      </c>
      <c r="P8" s="15">
        <v>0.12059984558838857</v>
      </c>
    </row>
    <row r="9" spans="2:21" ht="24" x14ac:dyDescent="0.3">
      <c r="B9" s="21" t="s">
        <v>505</v>
      </c>
      <c r="C9" s="31">
        <f ca="1">C7/SQRT(C8)</f>
        <v>4.387520955625673E-3</v>
      </c>
      <c r="D9" s="31">
        <f ca="1">D7/SQRT(D8)</f>
        <v>1.998254470165722E-3</v>
      </c>
      <c r="E9" s="31">
        <f ca="1">IF(E$8&gt;1,E7/SQRT(E8),"")</f>
        <v>4.387520955625673E-3</v>
      </c>
      <c r="F9" s="31">
        <f ca="1">IF(F$8&gt;1,F7/SQRT(F8),"")</f>
        <v>1.998254470165722E-3</v>
      </c>
      <c r="G9" s="48"/>
      <c r="H9" s="32" t="s">
        <v>516</v>
      </c>
      <c r="I9" s="33" t="e">
        <f ca="1">2*(1-_xlfn.T.DIST(ABS(I7),C10,TRUE))</f>
        <v>#REF!</v>
      </c>
      <c r="J9" s="33">
        <f ca="1">2*(1-_xlfn.T.DIST(ABS(J7),D10,TRUE))</f>
        <v>1.7361015854477913E-5</v>
      </c>
      <c r="K9" s="33">
        <f ca="1">2*(1-_xlfn.T.DIST(ABS(K7),E10,TRUE))</f>
        <v>5.7534627195821031E-7</v>
      </c>
      <c r="L9" s="33">
        <f ca="1">2*(1-_xlfn.T.DIST(ABS(L7),F10,TRUE))</f>
        <v>1.7361015854477913E-5</v>
      </c>
      <c r="O9" s="15" t="s">
        <v>523</v>
      </c>
      <c r="P9" s="15">
        <v>1.885480824221154E-2</v>
      </c>
    </row>
    <row r="10" spans="2:21" ht="13" customHeight="1" thickBot="1" x14ac:dyDescent="0.35">
      <c r="B10" s="26" t="s">
        <v>506</v>
      </c>
      <c r="C10" s="30">
        <f ca="1">C8-1</f>
        <v>20</v>
      </c>
      <c r="D10" s="30">
        <f ca="1">D8-1</f>
        <v>20</v>
      </c>
      <c r="E10" s="30">
        <f ca="1">E8-1</f>
        <v>20</v>
      </c>
      <c r="F10" s="30">
        <f ca="1">F8-1</f>
        <v>20</v>
      </c>
      <c r="G10" s="48"/>
      <c r="H10" s="34" t="s">
        <v>517</v>
      </c>
      <c r="I10" s="35" t="e">
        <f ca="1">IF(I$9&lt;0.05, "inputs are plausible", "inputs are not plausible")</f>
        <v>#REF!</v>
      </c>
      <c r="J10" s="35" t="str">
        <f t="shared" ref="J10:L10" ca="1" si="0">IF(J$9&lt;0.05, "inputs are plausible", "inputs are not plausible")</f>
        <v>inputs are plausible</v>
      </c>
      <c r="K10" s="35" t="str">
        <f t="shared" ca="1" si="0"/>
        <v>inputs are plausible</v>
      </c>
      <c r="L10" s="35" t="str">
        <f t="shared" ca="1" si="0"/>
        <v>inputs are plausible</v>
      </c>
      <c r="O10" s="36" t="s">
        <v>524</v>
      </c>
      <c r="P10" s="36">
        <v>21</v>
      </c>
    </row>
    <row r="11" spans="2:21" ht="19.5" customHeight="1" x14ac:dyDescent="0.3">
      <c r="B11" s="21" t="s">
        <v>507</v>
      </c>
      <c r="C11" s="185">
        <f ca="1">CORREL(C23:C43,D23:D43)</f>
        <v>0.40567210072787774</v>
      </c>
      <c r="D11" s="186"/>
      <c r="E11" s="187"/>
      <c r="F11" s="188"/>
    </row>
    <row r="12" spans="2:21" ht="12.5" thickBot="1" x14ac:dyDescent="0.35">
      <c r="C12" s="37"/>
      <c r="D12" s="37"/>
      <c r="E12" s="37"/>
      <c r="F12" s="37"/>
      <c r="O12" s="15" t="s">
        <v>525</v>
      </c>
    </row>
    <row r="13" spans="2:21" x14ac:dyDescent="0.3">
      <c r="B13" s="15"/>
      <c r="E13" s="37"/>
      <c r="F13" s="37"/>
      <c r="H13" s="38" t="s">
        <v>543</v>
      </c>
      <c r="O13" s="39"/>
      <c r="P13" s="39" t="s">
        <v>530</v>
      </c>
      <c r="Q13" s="39" t="s">
        <v>531</v>
      </c>
      <c r="R13" s="39" t="s">
        <v>532</v>
      </c>
      <c r="S13" s="39" t="s">
        <v>533</v>
      </c>
      <c r="T13" s="39" t="s">
        <v>534</v>
      </c>
    </row>
    <row r="14" spans="2:21" x14ac:dyDescent="0.3">
      <c r="B14" s="168" t="s">
        <v>497</v>
      </c>
      <c r="C14" s="167" t="s">
        <v>494</v>
      </c>
      <c r="D14" s="167" t="s">
        <v>495</v>
      </c>
      <c r="E14" s="37"/>
      <c r="F14" s="37"/>
      <c r="H14" s="40" t="s">
        <v>553</v>
      </c>
      <c r="I14" s="29" cm="1">
        <f t="array" aca="1" ref="I14:J18" ca="1">LINEST(C23:C43,D23:D43,TRUE, TRUE)</f>
        <v>0.89072481489739408</v>
      </c>
      <c r="J14" s="29">
        <f ca="1"/>
        <v>-4.0029714761264535E-3</v>
      </c>
      <c r="K14" s="41" t="s">
        <v>551</v>
      </c>
      <c r="O14" s="15" t="s">
        <v>526</v>
      </c>
      <c r="P14" s="15">
        <v>1</v>
      </c>
      <c r="Q14" s="15">
        <v>1.3305707739820595E-3</v>
      </c>
      <c r="R14" s="15">
        <v>1.3305707739820595E-3</v>
      </c>
      <c r="S14" s="15">
        <v>3.7427751742681794</v>
      </c>
      <c r="T14" s="15">
        <v>6.80676174971728E-2</v>
      </c>
    </row>
    <row r="15" spans="2:21" x14ac:dyDescent="0.3">
      <c r="B15" s="168"/>
      <c r="C15" s="167"/>
      <c r="D15" s="167"/>
      <c r="E15" s="37"/>
      <c r="F15" s="37"/>
      <c r="H15" s="42" t="s">
        <v>544</v>
      </c>
      <c r="I15" s="29">
        <f ca="1"/>
        <v>0.46041204995975421</v>
      </c>
      <c r="J15" s="29">
        <f ca="1"/>
        <v>8.5190653883629366E-3</v>
      </c>
      <c r="K15" s="41" t="s">
        <v>552</v>
      </c>
      <c r="P15" s="15" t="s">
        <v>527</v>
      </c>
      <c r="Q15" s="15">
        <v>19</v>
      </c>
      <c r="R15" s="15">
        <v>6.7545720831607972E-3</v>
      </c>
      <c r="S15" s="15">
        <v>3.5550379385056825E-4</v>
      </c>
    </row>
    <row r="16" spans="2:21" ht="12.5" thickBot="1" x14ac:dyDescent="0.35">
      <c r="B16" s="43" t="s">
        <v>498</v>
      </c>
      <c r="C16" s="44">
        <v>4.2000000000000003E-2</v>
      </c>
      <c r="D16" s="44">
        <v>5.0000000000000001E-3</v>
      </c>
      <c r="E16" s="37"/>
      <c r="F16" s="37"/>
      <c r="H16" s="42" t="s">
        <v>550</v>
      </c>
      <c r="I16" s="29">
        <f ca="1"/>
        <v>0.16456985330896914</v>
      </c>
      <c r="J16" s="29">
        <f ca="1"/>
        <v>1.885480824221154E-2</v>
      </c>
      <c r="K16" s="45" t="s">
        <v>547</v>
      </c>
      <c r="P16" s="36" t="s">
        <v>528</v>
      </c>
      <c r="Q16" s="36">
        <v>20</v>
      </c>
      <c r="R16" s="36">
        <v>8.0851428571428567E-3</v>
      </c>
      <c r="S16" s="36"/>
      <c r="T16" s="36"/>
      <c r="U16" s="36"/>
    </row>
    <row r="17" spans="1:24" ht="12.5" thickBot="1" x14ac:dyDescent="0.35">
      <c r="B17" s="43" t="s">
        <v>499</v>
      </c>
      <c r="C17" s="44">
        <v>0.02</v>
      </c>
      <c r="D17" s="44">
        <v>0.02</v>
      </c>
      <c r="E17" s="37"/>
      <c r="F17" s="37"/>
      <c r="H17" s="42" t="s">
        <v>545</v>
      </c>
      <c r="I17" s="29">
        <f ca="1"/>
        <v>3.7427751742681794</v>
      </c>
      <c r="J17" s="29">
        <f ca="1"/>
        <v>19</v>
      </c>
      <c r="K17" s="45" t="s">
        <v>548</v>
      </c>
    </row>
    <row r="18" spans="1:24" x14ac:dyDescent="0.3">
      <c r="B18" s="43" t="s">
        <v>500</v>
      </c>
      <c r="C18" s="44">
        <v>-0.03</v>
      </c>
      <c r="D18" s="44">
        <v>0.05</v>
      </c>
      <c r="E18" s="37"/>
      <c r="F18" s="37"/>
      <c r="H18" s="42" t="s">
        <v>546</v>
      </c>
      <c r="I18" s="29">
        <f ca="1"/>
        <v>1.3305707739820595E-3</v>
      </c>
      <c r="J18" s="29">
        <f ca="1"/>
        <v>6.7545720831607972E-3</v>
      </c>
      <c r="K18" s="45" t="s">
        <v>549</v>
      </c>
      <c r="P18" s="39"/>
      <c r="Q18" s="39" t="s">
        <v>535</v>
      </c>
      <c r="R18" s="39" t="s">
        <v>523</v>
      </c>
      <c r="S18" s="39" t="s">
        <v>536</v>
      </c>
      <c r="T18" s="39" t="s">
        <v>537</v>
      </c>
      <c r="U18" s="39" t="s">
        <v>538</v>
      </c>
      <c r="V18" s="39" t="s">
        <v>539</v>
      </c>
      <c r="W18" s="39" t="s">
        <v>540</v>
      </c>
      <c r="X18" s="39" t="s">
        <v>541</v>
      </c>
    </row>
    <row r="19" spans="1:24" x14ac:dyDescent="0.3">
      <c r="B19" s="43" t="s">
        <v>569</v>
      </c>
      <c r="C19" s="27" t="e">
        <f ca="1">_xlfn.NORM.INV(RAND(),#REF!,#REF!)</f>
        <v>#REF!</v>
      </c>
      <c r="D19" s="27" t="e">
        <f ca="1">_xlfn.NORM.INV(RAND(),#REF!,#REF!)</f>
        <v>#REF!</v>
      </c>
      <c r="E19" s="37"/>
      <c r="F19" s="37"/>
      <c r="P19" s="15" t="s">
        <v>529</v>
      </c>
      <c r="Q19" s="15">
        <v>-4.0029714761264535E-3</v>
      </c>
      <c r="R19" s="15">
        <v>8.5190653883629366E-3</v>
      </c>
      <c r="S19" s="15">
        <v>-0.46988387735519932</v>
      </c>
      <c r="T19" s="15">
        <v>0.64378612716816996</v>
      </c>
      <c r="U19" s="15">
        <v>-2.183358025504735E-2</v>
      </c>
      <c r="V19" s="15">
        <v>1.3827637302794441E-2</v>
      </c>
      <c r="W19" s="15">
        <v>-2.183358025504735E-2</v>
      </c>
      <c r="X19" s="15">
        <v>1.3827637302794441E-2</v>
      </c>
    </row>
    <row r="20" spans="1:24" ht="12.5" customHeight="1" thickBot="1" x14ac:dyDescent="0.35">
      <c r="E20" s="37"/>
      <c r="F20" s="37"/>
      <c r="H20" s="176" t="s">
        <v>577</v>
      </c>
      <c r="I20" s="176"/>
      <c r="J20" s="176"/>
      <c r="K20" s="176"/>
      <c r="P20" s="36" t="s">
        <v>542</v>
      </c>
      <c r="Q20" s="36">
        <v>0.89072481489739408</v>
      </c>
      <c r="R20" s="36">
        <v>0.46041204995975421</v>
      </c>
      <c r="S20" s="36">
        <v>1.9346253317550108</v>
      </c>
      <c r="T20" s="36">
        <v>6.8067617497172578E-2</v>
      </c>
      <c r="U20" s="36">
        <v>-7.292868060781188E-2</v>
      </c>
      <c r="V20" s="36">
        <v>1.8543783104026001</v>
      </c>
      <c r="W20" s="36">
        <v>-7.292868060781188E-2</v>
      </c>
      <c r="X20" s="36">
        <v>1.8543783104026001</v>
      </c>
    </row>
    <row r="21" spans="1:24" ht="16" customHeight="1" x14ac:dyDescent="0.3">
      <c r="H21" s="176"/>
      <c r="I21" s="176"/>
      <c r="J21" s="176"/>
      <c r="K21" s="176"/>
    </row>
    <row r="22" spans="1:24" ht="35" customHeight="1" x14ac:dyDescent="0.3">
      <c r="A22" s="28"/>
      <c r="B22" s="21" t="s">
        <v>493</v>
      </c>
      <c r="C22" s="46" t="s">
        <v>494</v>
      </c>
      <c r="D22" s="46" t="s">
        <v>495</v>
      </c>
    </row>
    <row r="23" spans="1:24" x14ac:dyDescent="0.3">
      <c r="A23" s="28">
        <v>1</v>
      </c>
      <c r="B23" s="26">
        <f ca="1">OFFSET(Data_Growth!$B$4,'2. Scenarios (2)'!A23*4,0)</f>
        <v>2020</v>
      </c>
      <c r="C23" s="27">
        <f ca="1">OFFSET(Data_Growth!$C$4,'2. Scenarios (2)'!A23*4,0)/100</f>
        <v>-4.4000000000000004E-2</v>
      </c>
      <c r="D23" s="27">
        <f ca="1">OFFSET(Data_Inflation!$B$2,'2. Scenarios (2)'!A23*12,0)/OFFSET(Data_Inflation!$B$2,'2. Scenarios (2)'!A24*12,0)-1</f>
        <v>-2.6557905719434283E-3</v>
      </c>
      <c r="E23" s="16"/>
    </row>
    <row r="24" spans="1:24" x14ac:dyDescent="0.3">
      <c r="A24" s="28">
        <v>2</v>
      </c>
      <c r="B24" s="26">
        <f ca="1">OFFSET(Data_Growth!$B$4,'2. Scenarios (2)'!A24*4,0)</f>
        <v>2019</v>
      </c>
      <c r="C24" s="27">
        <f ca="1">OFFSET(Data_Growth!$C$4,'2. Scenarios (2)'!A24*4,0)/100</f>
        <v>1.2E-2</v>
      </c>
      <c r="D24" s="27">
        <f ca="1">OFFSET(Data_Inflation!$B$2,'2. Scenarios (2)'!A24*12,0)/OFFSET(Data_Inflation!$B$2,'2. Scenarios (2)'!A25*12,0)-1</f>
        <v>1.326285439692465E-2</v>
      </c>
      <c r="E24" s="16"/>
    </row>
    <row r="25" spans="1:24" x14ac:dyDescent="0.3">
      <c r="A25" s="28">
        <v>3</v>
      </c>
      <c r="B25" s="26">
        <f ca="1">OFFSET(Data_Growth!$B$4,'2. Scenarios (2)'!A25*4,0)</f>
        <v>2018</v>
      </c>
      <c r="C25" s="27">
        <f ca="1">OFFSET(Data_Growth!$C$4,'2. Scenarios (2)'!A25*4,0)/100</f>
        <v>1.2E-2</v>
      </c>
      <c r="D25" s="27">
        <f ca="1">OFFSET(Data_Inflation!$B$2,'2. Scenarios (2)'!A25*12,0)/OFFSET(Data_Inflation!$B$2,'2. Scenarios (2)'!A26*12,0)-1</f>
        <v>1.5220997170455774E-2</v>
      </c>
      <c r="E25" s="16"/>
    </row>
    <row r="26" spans="1:24" x14ac:dyDescent="0.3">
      <c r="A26" s="28">
        <v>4</v>
      </c>
      <c r="B26" s="26">
        <f ca="1">OFFSET(Data_Growth!$B$4,'2. Scenarios (2)'!A26*4,0)</f>
        <v>2017</v>
      </c>
      <c r="C26" s="27">
        <f ca="1">OFFSET(Data_Growth!$C$4,'2. Scenarios (2)'!A26*4,0)/100</f>
        <v>3.1E-2</v>
      </c>
      <c r="D26" s="27">
        <f ca="1">OFFSET(Data_Inflation!$B$2,'2. Scenarios (2)'!A26*12,0)/OFFSET(Data_Inflation!$B$2,'2. Scenarios (2)'!A27*12,0)-1</f>
        <v>1.3448037179867534E-2</v>
      </c>
      <c r="E26" s="16"/>
    </row>
    <row r="27" spans="1:24" x14ac:dyDescent="0.3">
      <c r="A27" s="28">
        <v>5</v>
      </c>
      <c r="B27" s="26">
        <f ca="1">OFFSET(Data_Growth!$B$4,'2. Scenarios (2)'!A27*4,0)</f>
        <v>2016</v>
      </c>
      <c r="C27" s="27">
        <f ca="1">OFFSET(Data_Growth!$C$4,'2. Scenarios (2)'!A27*4,0)/100</f>
        <v>0.02</v>
      </c>
      <c r="D27" s="27">
        <f ca="1">OFFSET(Data_Inflation!$B$2,'2. Scenarios (2)'!A27*12,0)/OFFSET(Data_Inflation!$B$2,'2. Scenarios (2)'!A28*12,0)-1</f>
        <v>1.0996700989702957E-2</v>
      </c>
      <c r="E27" s="16"/>
    </row>
    <row r="28" spans="1:24" x14ac:dyDescent="0.3">
      <c r="A28" s="28">
        <v>6</v>
      </c>
      <c r="B28" s="26">
        <f ca="1">OFFSET(Data_Growth!$B$4,'2. Scenarios (2)'!A28*4,0)</f>
        <v>2015</v>
      </c>
      <c r="C28" s="27">
        <f ca="1">OFFSET(Data_Growth!$C$4,'2. Scenarios (2)'!A28*4,0)/100</f>
        <v>0.02</v>
      </c>
      <c r="D28" s="27">
        <f ca="1">OFFSET(Data_Inflation!$B$2,'2. Scenarios (2)'!A28*12,0)/OFFSET(Data_Inflation!$B$2,'2. Scenarios (2)'!A29*12,0)-1</f>
        <v>2.5055121266785996E-3</v>
      </c>
      <c r="E28" s="16"/>
    </row>
    <row r="29" spans="1:24" x14ac:dyDescent="0.3">
      <c r="A29" s="28">
        <v>7</v>
      </c>
      <c r="B29" s="26">
        <f ca="1">OFFSET(Data_Growth!$B$4,'2. Scenarios (2)'!A29*4,0)</f>
        <v>2014</v>
      </c>
      <c r="C29" s="27">
        <f ca="1">OFFSET(Data_Growth!$C$4,'2. Scenarios (2)'!A29*4,0)/100</f>
        <v>1.4999999999999999E-2</v>
      </c>
      <c r="D29" s="27">
        <f ca="1">OFFSET(Data_Inflation!$B$2,'2. Scenarios (2)'!A29*12,0)/OFFSET(Data_Inflation!$B$2,'2. Scenarios (2)'!A30*12,0)-1</f>
        <v>-1.7008504252126189E-3</v>
      </c>
      <c r="E29" s="16"/>
    </row>
    <row r="30" spans="1:24" x14ac:dyDescent="0.3">
      <c r="A30" s="28">
        <v>8</v>
      </c>
      <c r="B30" s="26">
        <f ca="1">OFFSET(Data_Growth!$B$4,'2. Scenarios (2)'!A30*4,0)</f>
        <v>2013</v>
      </c>
      <c r="C30" s="27">
        <f ca="1">OFFSET(Data_Growth!$C$4,'2. Scenarios (2)'!A30*4,0)/100</f>
        <v>6.9999999999999993E-3</v>
      </c>
      <c r="D30" s="27">
        <f ca="1">OFFSET(Data_Inflation!$B$2,'2. Scenarios (2)'!A30*12,0)/OFFSET(Data_Inflation!$B$2,'2. Scenarios (2)'!A31*12,0)-1</f>
        <v>8.4754313389163727E-3</v>
      </c>
      <c r="E30" s="16"/>
    </row>
    <row r="31" spans="1:24" x14ac:dyDescent="0.3">
      <c r="A31" s="28">
        <v>9</v>
      </c>
      <c r="B31" s="26">
        <f ca="1">OFFSET(Data_Growth!$B$4,'2. Scenarios (2)'!A31*4,0)</f>
        <v>2012</v>
      </c>
      <c r="C31" s="27">
        <f ca="1">OFFSET(Data_Growth!$C$4,'2. Scenarios (2)'!A31*4,0)/100</f>
        <v>-0.01</v>
      </c>
      <c r="D31" s="27">
        <f ca="1">OFFSET(Data_Inflation!$B$2,'2. Scenarios (2)'!A31*12,0)/OFFSET(Data_Inflation!$B$2,'2. Scenarios (2)'!A32*12,0)-1</f>
        <v>2.2174092409241064E-2</v>
      </c>
      <c r="E31" s="16"/>
    </row>
    <row r="32" spans="1:24" x14ac:dyDescent="0.3">
      <c r="A32" s="28">
        <v>10</v>
      </c>
      <c r="B32" s="26">
        <f ca="1">OFFSET(Data_Growth!$B$4,'2. Scenarios (2)'!A32*4,0)</f>
        <v>2011</v>
      </c>
      <c r="C32" s="27">
        <f ca="1">OFFSET(Data_Growth!$C$4,'2. Scenarios (2)'!A32*4,0)/100</f>
        <v>6.0000000000000001E-3</v>
      </c>
      <c r="D32" s="27">
        <f ca="1">OFFSET(Data_Inflation!$B$2,'2. Scenarios (2)'!A32*12,0)/OFFSET(Data_Inflation!$B$2,'2. Scenarios (2)'!A33*12,0)-1</f>
        <v>2.7554048325561631E-2</v>
      </c>
      <c r="E32" s="16"/>
    </row>
    <row r="33" spans="1:6" x14ac:dyDescent="0.3">
      <c r="A33" s="28">
        <v>11</v>
      </c>
      <c r="B33" s="26">
        <f ca="1">OFFSET(Data_Growth!$B$4,'2. Scenarios (2)'!A33*4,0)</f>
        <v>2010</v>
      </c>
      <c r="C33" s="27">
        <f ca="1">OFFSET(Data_Growth!$C$4,'2. Scenarios (2)'!A33*4,0)/100</f>
        <v>2.5000000000000001E-2</v>
      </c>
      <c r="D33" s="27">
        <f ca="1">OFFSET(Data_Inflation!$B$2,'2. Scenarios (2)'!A33*12,0)/OFFSET(Data_Inflation!$B$2,'2. Scenarios (2)'!A34*12,0)-1</f>
        <v>2.2097053726169991E-2</v>
      </c>
      <c r="E33" s="16"/>
      <c r="F33" s="16"/>
    </row>
    <row r="34" spans="1:6" x14ac:dyDescent="0.3">
      <c r="A34" s="28">
        <v>12</v>
      </c>
      <c r="B34" s="26">
        <f ca="1">OFFSET(Data_Growth!$B$4,'2. Scenarios (2)'!A34*4,0)</f>
        <v>2009</v>
      </c>
      <c r="C34" s="27">
        <f ca="1">OFFSET(Data_Growth!$C$4,'2. Scenarios (2)'!A34*4,0)/100</f>
        <v>-2.3E-2</v>
      </c>
      <c r="D34" s="27">
        <f ca="1">OFFSET(Data_Inflation!$B$2,'2. Scenarios (2)'!A34*12,0)/OFFSET(Data_Inflation!$B$2,'2. Scenarios (2)'!A35*12,0)-1</f>
        <v>9.2926642615065447E-3</v>
      </c>
      <c r="E34" s="16"/>
      <c r="F34" s="16"/>
    </row>
    <row r="35" spans="1:6" x14ac:dyDescent="0.3">
      <c r="A35" s="28">
        <v>13</v>
      </c>
      <c r="B35" s="26">
        <f ca="1">OFFSET(Data_Growth!$B$4,'2. Scenarios (2)'!A35*4,0)</f>
        <v>2008</v>
      </c>
      <c r="C35" s="27">
        <f ca="1">OFFSET(Data_Growth!$C$4,'2. Scenarios (2)'!A35*4,0)/100</f>
        <v>-2.2000000000000002E-2</v>
      </c>
      <c r="D35" s="27">
        <f ca="1">OFFSET(Data_Inflation!$B$2,'2. Scenarios (2)'!A35*12,0)/OFFSET(Data_Inflation!$B$2,'2. Scenarios (2)'!A36*12,0)-1</f>
        <v>1.5769017212659664E-2</v>
      </c>
      <c r="E35" s="16"/>
      <c r="F35" s="16"/>
    </row>
    <row r="36" spans="1:6" x14ac:dyDescent="0.3">
      <c r="A36" s="28">
        <v>14</v>
      </c>
      <c r="B36" s="26">
        <f ca="1">OFFSET(Data_Growth!$B$4,'2. Scenarios (2)'!A36*4,0)</f>
        <v>2007</v>
      </c>
      <c r="C36" s="27">
        <f ca="1">OFFSET(Data_Growth!$C$4,'2. Scenarios (2)'!A36*4,0)/100</f>
        <v>2.3E-2</v>
      </c>
      <c r="D36" s="27">
        <f ca="1">OFFSET(Data_Inflation!$B$2,'2. Scenarios (2)'!A36*12,0)/OFFSET(Data_Inflation!$B$2,'2. Scenarios (2)'!A37*12,0)-1</f>
        <v>3.0674144443172624E-2</v>
      </c>
      <c r="E36" s="16"/>
      <c r="F36" s="16"/>
    </row>
    <row r="37" spans="1:6" x14ac:dyDescent="0.3">
      <c r="A37" s="28">
        <v>15</v>
      </c>
      <c r="B37" s="26">
        <f ca="1">OFFSET(Data_Growth!$B$4,'2. Scenarios (2)'!A37*4,0)</f>
        <v>2006</v>
      </c>
      <c r="C37" s="27">
        <f ca="1">OFFSET(Data_Growth!$C$4,'2. Scenarios (2)'!A37*4,0)/100</f>
        <v>3.7999999999999999E-2</v>
      </c>
      <c r="D37" s="27">
        <f ca="1">OFFSET(Data_Inflation!$B$2,'2. Scenarios (2)'!A37*12,0)/OFFSET(Data_Inflation!$B$2,'2. Scenarios (2)'!A38*12,0)-1</f>
        <v>1.90109633776534E-2</v>
      </c>
      <c r="E37" s="16"/>
      <c r="F37" s="16"/>
    </row>
    <row r="38" spans="1:6" x14ac:dyDescent="0.3">
      <c r="A38" s="28">
        <v>16</v>
      </c>
      <c r="B38" s="26">
        <f ca="1">OFFSET(Data_Growth!$B$4,'2. Scenarios (2)'!A38*4,0)</f>
        <v>2005</v>
      </c>
      <c r="C38" s="27">
        <f ca="1">OFFSET(Data_Growth!$C$4,'2. Scenarios (2)'!A38*4,0)/100</f>
        <v>2.2000000000000002E-2</v>
      </c>
      <c r="D38" s="27">
        <f ca="1">OFFSET(Data_Inflation!$B$2,'2. Scenarios (2)'!A38*12,0)/OFFSET(Data_Inflation!$B$2,'2. Scenarios (2)'!A39*12,0)-1</f>
        <v>2.2540250447227184E-2</v>
      </c>
      <c r="E38" s="16"/>
      <c r="F38" s="16"/>
    </row>
    <row r="39" spans="1:6" x14ac:dyDescent="0.3">
      <c r="A39" s="28">
        <v>17</v>
      </c>
      <c r="B39" s="26">
        <f ca="1">OFFSET(Data_Growth!$B$4,'2. Scenarios (2)'!A39*4,0)</f>
        <v>2004</v>
      </c>
      <c r="C39" s="27">
        <f ca="1">OFFSET(Data_Growth!$C$4,'2. Scenarios (2)'!A39*4,0)/100</f>
        <v>1.7000000000000001E-2</v>
      </c>
      <c r="D39" s="27">
        <f ca="1">OFFSET(Data_Inflation!$B$2,'2. Scenarios (2)'!A39*12,0)/OFFSET(Data_Inflation!$B$2,'2. Scenarios (2)'!A40*12,0)-1</f>
        <v>2.318486882245252E-2</v>
      </c>
      <c r="E39" s="16"/>
      <c r="F39" s="16"/>
    </row>
    <row r="40" spans="1:6" x14ac:dyDescent="0.3">
      <c r="A40" s="28">
        <v>18</v>
      </c>
      <c r="B40" s="26">
        <f ca="1">OFFSET(Data_Growth!$B$4,'2. Scenarios (2)'!A40*4,0)</f>
        <v>2003</v>
      </c>
      <c r="C40" s="27">
        <f ca="1">OFFSET(Data_Growth!$C$4,'2. Scenarios (2)'!A40*4,0)/100</f>
        <v>1.1000000000000001E-2</v>
      </c>
      <c r="D40" s="27">
        <f ca="1">OFFSET(Data_Inflation!$B$2,'2. Scenarios (2)'!A40*12,0)/OFFSET(Data_Inflation!$B$2,'2. Scenarios (2)'!A41*12,0)-1</f>
        <v>1.9785963165754206E-2</v>
      </c>
      <c r="E40" s="16"/>
      <c r="F40" s="16"/>
    </row>
    <row r="41" spans="1:6" x14ac:dyDescent="0.3">
      <c r="A41" s="28">
        <v>19</v>
      </c>
      <c r="B41" s="26">
        <f ca="1">OFFSET(Data_Growth!$B$4,'2. Scenarios (2)'!A41*4,0)</f>
        <v>2002</v>
      </c>
      <c r="C41" s="27">
        <f ca="1">OFFSET(Data_Growth!$C$4,'2. Scenarios (2)'!A41*4,0)/100</f>
        <v>1.2E-2</v>
      </c>
      <c r="D41" s="27">
        <f ca="1">OFFSET(Data_Inflation!$B$2,'2. Scenarios (2)'!A41*12,0)/OFFSET(Data_Inflation!$B$2,'2. Scenarios (2)'!A42*12,0)-1</f>
        <v>2.3172905525846721E-2</v>
      </c>
      <c r="E41" s="16"/>
      <c r="F41" s="16"/>
    </row>
    <row r="42" spans="1:6" x14ac:dyDescent="0.3">
      <c r="A42" s="28">
        <v>20</v>
      </c>
      <c r="B42" s="26">
        <f ca="1">OFFSET(Data_Growth!$B$4,'2. Scenarios (2)'!A42*4,0)</f>
        <v>2001</v>
      </c>
      <c r="C42" s="27">
        <f ca="1">OFFSET(Data_Growth!$C$4,'2. Scenarios (2)'!A42*4,0)/100</f>
        <v>1.3000000000000001E-2</v>
      </c>
      <c r="D42" s="27">
        <f ca="1">OFFSET(Data_Inflation!$B$2,'2. Scenarios (2)'!A42*12,0)/OFFSET(Data_Inflation!$B$2,'2. Scenarios (2)'!A43*12,0)-1</f>
        <v>2.0530145530145649E-2</v>
      </c>
      <c r="E42" s="16"/>
      <c r="F42" s="16"/>
    </row>
    <row r="43" spans="1:6" x14ac:dyDescent="0.3">
      <c r="A43" s="28">
        <v>21</v>
      </c>
      <c r="B43" s="26">
        <f ca="1">OFFSET(Data_Growth!$B$4,'2. Scenarios (2)'!A43*4,0)</f>
        <v>2000</v>
      </c>
      <c r="C43" s="27">
        <f ca="1">OFFSET(Data_Growth!$C$4,'2. Scenarios (2)'!A43*4,0)/100</f>
        <v>3.4000000000000002E-2</v>
      </c>
      <c r="D43" s="27">
        <f ca="1">OFFSET(Data_Inflation!$B$2,'2. Scenarios (2)'!A43*12,0)/OFFSET(Data_Inflation!$B$2,'2. Scenarios (2)'!A44*12,0)-1</f>
        <v>2.4903449194300098E-2</v>
      </c>
      <c r="E43" s="16"/>
      <c r="F43" s="16"/>
    </row>
    <row r="44" spans="1:6" hidden="1" x14ac:dyDescent="0.3">
      <c r="A44" s="15">
        <v>22</v>
      </c>
    </row>
  </sheetData>
  <sheetProtection sort="0" autoFilter="0"/>
  <autoFilter ref="A22:D44" xr:uid="{4B1C27A5-813C-41D9-8503-3747EEE744DC}"/>
  <mergeCells count="11">
    <mergeCell ref="B14:B15"/>
    <mergeCell ref="C14:C15"/>
    <mergeCell ref="D14:D15"/>
    <mergeCell ref="H20:K21"/>
    <mergeCell ref="B3:B4"/>
    <mergeCell ref="C3:D4"/>
    <mergeCell ref="E3:F4"/>
    <mergeCell ref="I4:J4"/>
    <mergeCell ref="K4:L4"/>
    <mergeCell ref="C11:D11"/>
    <mergeCell ref="E11:F11"/>
  </mergeCells>
  <dataValidations count="1">
    <dataValidation type="list" allowBlank="1" showInputMessage="1" showErrorMessage="1" sqref="J2" xr:uid="{8A83AB91-DFDE-4775-970D-C5F0234DD5B5}">
      <formula1>$B$16:$B$19</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Forward">
                <anchor moveWithCells="1" sizeWithCells="1">
                  <from>
                    <xdr:col>1</xdr:col>
                    <xdr:colOff>38100</xdr:colOff>
                    <xdr:row>0</xdr:row>
                    <xdr:rowOff>146050</xdr:rowOff>
                  </from>
                  <to>
                    <xdr:col>1</xdr:col>
                    <xdr:colOff>615950</xdr:colOff>
                    <xdr:row>2</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B4D5F-2DB2-45E1-AC19-7CC9ED407E3E}">
  <sheetPr codeName="Sheet2">
    <tabColor theme="9" tint="0.39997558519241921"/>
  </sheetPr>
  <dimension ref="A1:V84"/>
  <sheetViews>
    <sheetView tabSelected="1" topLeftCell="A32" zoomScale="85" zoomScaleNormal="85" workbookViewId="0">
      <selection activeCell="C14" sqref="C14"/>
    </sheetView>
  </sheetViews>
  <sheetFormatPr defaultColWidth="0" defaultRowHeight="14.5" zeroHeight="1" outlineLevelRow="1" x14ac:dyDescent="0.35"/>
  <cols>
    <col min="1" max="1" width="1.54296875" style="54" customWidth="1"/>
    <col min="2" max="2" width="23.26953125" style="54" customWidth="1"/>
    <col min="3" max="3" width="11.08984375" style="54" customWidth="1"/>
    <col min="4" max="4" width="11.1796875" style="54" customWidth="1"/>
    <col min="5" max="5" width="12.1796875" style="54" customWidth="1"/>
    <col min="6" max="6" width="12.54296875" style="54" customWidth="1"/>
    <col min="7" max="7" width="12.1796875" style="54" customWidth="1"/>
    <col min="8" max="13" width="11.08984375" style="54" customWidth="1"/>
    <col min="14" max="14" width="12.08984375" style="54" customWidth="1"/>
    <col min="15" max="15" width="11.6328125" style="54" customWidth="1"/>
    <col min="16" max="22" width="8.7265625" style="54" customWidth="1"/>
    <col min="23" max="16384" width="8.7265625" style="54" hidden="1"/>
  </cols>
  <sheetData>
    <row r="1" spans="2:14" x14ac:dyDescent="0.35">
      <c r="F1" s="108"/>
      <c r="G1" s="108"/>
      <c r="H1" s="108"/>
    </row>
    <row r="2" spans="2:14" x14ac:dyDescent="0.35">
      <c r="B2" s="109" t="s">
        <v>497</v>
      </c>
      <c r="C2" s="110" t="s">
        <v>499</v>
      </c>
      <c r="F2" s="108"/>
      <c r="G2" s="108"/>
      <c r="H2" s="108"/>
    </row>
    <row r="3" spans="2:14" x14ac:dyDescent="0.35">
      <c r="B3" s="109" t="s">
        <v>389</v>
      </c>
      <c r="C3" s="107"/>
    </row>
    <row r="4" spans="2:14" x14ac:dyDescent="0.35">
      <c r="B4" s="107" t="s">
        <v>554</v>
      </c>
      <c r="C4" s="78">
        <v>44196</v>
      </c>
    </row>
    <row r="5" spans="2:14" x14ac:dyDescent="0.35">
      <c r="B5" s="107" t="s">
        <v>555</v>
      </c>
      <c r="C5" s="111">
        <f>VLOOKUP($C$2,'2.Scenarios'!$C$5:$E$8,2,FALSE)</f>
        <v>1.95E-2</v>
      </c>
      <c r="D5" s="112"/>
      <c r="H5" s="112"/>
    </row>
    <row r="6" spans="2:14" x14ac:dyDescent="0.35">
      <c r="B6" s="107" t="s">
        <v>588</v>
      </c>
      <c r="C6" s="111">
        <f>VLOOKUP($C$2,'2.Scenarios'!$C$5:$E$8,3,FALSE)</f>
        <v>0.02</v>
      </c>
      <c r="D6" s="112"/>
      <c r="H6" s="113"/>
    </row>
    <row r="7" spans="2:14" x14ac:dyDescent="0.35">
      <c r="B7" s="107" t="s">
        <v>570</v>
      </c>
      <c r="C7" s="114">
        <v>40</v>
      </c>
      <c r="F7" s="115"/>
      <c r="G7" s="115"/>
      <c r="H7" s="116"/>
    </row>
    <row r="8" spans="2:14" x14ac:dyDescent="0.35">
      <c r="B8" s="107" t="s">
        <v>571</v>
      </c>
      <c r="C8" s="114">
        <f>10*(100-C7)</f>
        <v>600</v>
      </c>
    </row>
    <row r="9" spans="2:14" x14ac:dyDescent="0.35">
      <c r="B9" s="119" t="s">
        <v>572</v>
      </c>
      <c r="C9" s="119">
        <v>20</v>
      </c>
      <c r="H9" s="112"/>
    </row>
    <row r="10" spans="2:14" x14ac:dyDescent="0.35">
      <c r="B10" s="119" t="s">
        <v>573</v>
      </c>
      <c r="C10" s="154">
        <v>2500</v>
      </c>
    </row>
    <row r="11" spans="2:14" x14ac:dyDescent="0.35">
      <c r="B11" s="119" t="s">
        <v>420</v>
      </c>
      <c r="C11" s="153">
        <v>0.1</v>
      </c>
    </row>
    <row r="12" spans="2:14" x14ac:dyDescent="0.35"/>
    <row r="13" spans="2:14" s="128" customFormat="1" ht="28" customHeight="1" x14ac:dyDescent="0.35">
      <c r="B13" s="143" t="s">
        <v>578</v>
      </c>
    </row>
    <row r="14" spans="2:14" x14ac:dyDescent="0.35">
      <c r="B14" s="79" t="s">
        <v>556</v>
      </c>
      <c r="C14" s="80">
        <f>EOMONTH(C4,0)</f>
        <v>44196</v>
      </c>
      <c r="D14" s="80">
        <f>EOMONTH(C14,12)</f>
        <v>44561</v>
      </c>
      <c r="E14" s="80">
        <f t="shared" ref="E14:N14" si="0">EOMONTH(D14,12)</f>
        <v>44926</v>
      </c>
      <c r="F14" s="80">
        <f t="shared" si="0"/>
        <v>45291</v>
      </c>
      <c r="G14" s="80">
        <f t="shared" si="0"/>
        <v>45657</v>
      </c>
      <c r="H14" s="80">
        <f t="shared" si="0"/>
        <v>46022</v>
      </c>
      <c r="I14" s="80">
        <f t="shared" si="0"/>
        <v>46387</v>
      </c>
      <c r="J14" s="80">
        <f t="shared" si="0"/>
        <v>46752</v>
      </c>
      <c r="K14" s="80">
        <f t="shared" si="0"/>
        <v>47118</v>
      </c>
      <c r="L14" s="80">
        <f t="shared" si="0"/>
        <v>47483</v>
      </c>
      <c r="M14" s="80">
        <f t="shared" si="0"/>
        <v>47848</v>
      </c>
      <c r="N14" s="80">
        <f t="shared" si="0"/>
        <v>48213</v>
      </c>
    </row>
    <row r="15" spans="2:14" x14ac:dyDescent="0.35">
      <c r="B15" s="79" t="s">
        <v>493</v>
      </c>
      <c r="C15" s="81">
        <f t="shared" ref="C15:N15" si="1">DAYS360($C14,C14,TRUE)/360</f>
        <v>0</v>
      </c>
      <c r="D15" s="81">
        <f t="shared" si="1"/>
        <v>1</v>
      </c>
      <c r="E15" s="81">
        <f t="shared" si="1"/>
        <v>2</v>
      </c>
      <c r="F15" s="81">
        <f t="shared" si="1"/>
        <v>3</v>
      </c>
      <c r="G15" s="81">
        <f>DAYS360($C14,G14,TRUE)/360</f>
        <v>4</v>
      </c>
      <c r="H15" s="81">
        <f t="shared" si="1"/>
        <v>5</v>
      </c>
      <c r="I15" s="81">
        <f t="shared" si="1"/>
        <v>6</v>
      </c>
      <c r="J15" s="81">
        <f t="shared" si="1"/>
        <v>7</v>
      </c>
      <c r="K15" s="81">
        <f t="shared" si="1"/>
        <v>8</v>
      </c>
      <c r="L15" s="81">
        <f t="shared" si="1"/>
        <v>9</v>
      </c>
      <c r="M15" s="81">
        <f t="shared" si="1"/>
        <v>10</v>
      </c>
      <c r="N15" s="81">
        <f t="shared" si="1"/>
        <v>11</v>
      </c>
    </row>
    <row r="16" spans="2:14" x14ac:dyDescent="0.35">
      <c r="B16" s="79" t="s">
        <v>452</v>
      </c>
      <c r="C16" s="82">
        <v>-100000</v>
      </c>
      <c r="D16" s="155"/>
      <c r="E16" s="155"/>
      <c r="F16" s="155"/>
      <c r="G16" s="155"/>
      <c r="H16" s="155"/>
      <c r="I16" s="155"/>
      <c r="J16" s="155"/>
      <c r="K16" s="155"/>
      <c r="L16" s="155"/>
      <c r="M16" s="155"/>
      <c r="N16" s="155"/>
    </row>
    <row r="17" spans="2:14" x14ac:dyDescent="0.35">
      <c r="B17" s="79" t="s">
        <v>592</v>
      </c>
      <c r="C17" s="156"/>
      <c r="D17" s="157">
        <f>IFERROR(D18*D19,0)</f>
        <v>24000</v>
      </c>
      <c r="E17" s="157">
        <f>IFERROR(E18*E19,0)</f>
        <v>24957.360000000001</v>
      </c>
      <c r="F17" s="157">
        <f>IFERROR(F18*F19,0)</f>
        <v>25952.909090400004</v>
      </c>
      <c r="G17" s="157">
        <f t="shared" ref="G17:N17" si="2">IFERROR(G18*G19,0)</f>
        <v>26988.170634016064</v>
      </c>
      <c r="H17" s="157">
        <f t="shared" si="2"/>
        <v>28064.728760606969</v>
      </c>
      <c r="I17" s="157">
        <f t="shared" si="2"/>
        <v>29184.230790867583</v>
      </c>
      <c r="J17" s="157">
        <f t="shared" si="2"/>
        <v>30348.389757115296</v>
      </c>
      <c r="K17" s="157">
        <f t="shared" si="2"/>
        <v>31558.987024526625</v>
      </c>
      <c r="L17" s="157">
        <f t="shared" si="2"/>
        <v>32817.875016934995</v>
      </c>
      <c r="M17" s="157">
        <f t="shared" si="2"/>
        <v>34126.980051360537</v>
      </c>
      <c r="N17" s="157">
        <f t="shared" si="2"/>
        <v>35488.305285609305</v>
      </c>
    </row>
    <row r="18" spans="2:14" outlineLevel="1" x14ac:dyDescent="0.35">
      <c r="B18" s="79" t="s">
        <v>557</v>
      </c>
      <c r="C18" s="158"/>
      <c r="D18" s="159">
        <f>C7</f>
        <v>40</v>
      </c>
      <c r="E18" s="159">
        <f t="shared" ref="E18:N18" si="3">D18*(1+inflation)</f>
        <v>40.799999999999997</v>
      </c>
      <c r="F18" s="159">
        <f t="shared" si="3"/>
        <v>41.616</v>
      </c>
      <c r="G18" s="159">
        <f t="shared" si="3"/>
        <v>42.448320000000002</v>
      </c>
      <c r="H18" s="159">
        <f t="shared" si="3"/>
        <v>43.297286400000004</v>
      </c>
      <c r="I18" s="159">
        <f t="shared" si="3"/>
        <v>44.163232128000004</v>
      </c>
      <c r="J18" s="159">
        <f t="shared" si="3"/>
        <v>45.046496770560005</v>
      </c>
      <c r="K18" s="159">
        <f t="shared" si="3"/>
        <v>45.947426705971203</v>
      </c>
      <c r="L18" s="159">
        <f t="shared" si="3"/>
        <v>46.866375240090626</v>
      </c>
      <c r="M18" s="159">
        <f t="shared" si="3"/>
        <v>47.803702744892441</v>
      </c>
      <c r="N18" s="159">
        <f t="shared" si="3"/>
        <v>48.759776799790288</v>
      </c>
    </row>
    <row r="19" spans="2:14" outlineLevel="1" x14ac:dyDescent="0.35">
      <c r="B19" s="79" t="s">
        <v>558</v>
      </c>
      <c r="C19" s="158"/>
      <c r="D19" s="157">
        <f>C8</f>
        <v>600</v>
      </c>
      <c r="E19" s="157">
        <f>D19*(1+growth)</f>
        <v>611.70000000000005</v>
      </c>
      <c r="F19" s="157">
        <f t="shared" ref="F19:N19" si="4">E19*(1+$C$5)</f>
        <v>623.62815000000012</v>
      </c>
      <c r="G19" s="157">
        <f t="shared" si="4"/>
        <v>635.78889892500013</v>
      </c>
      <c r="H19" s="157">
        <f t="shared" si="4"/>
        <v>648.18678245403771</v>
      </c>
      <c r="I19" s="157">
        <f t="shared" si="4"/>
        <v>660.82642471189149</v>
      </c>
      <c r="J19" s="157">
        <f t="shared" si="4"/>
        <v>673.71253999377348</v>
      </c>
      <c r="K19" s="157">
        <f t="shared" si="4"/>
        <v>686.84993452365211</v>
      </c>
      <c r="L19" s="157">
        <f t="shared" si="4"/>
        <v>700.24350824686337</v>
      </c>
      <c r="M19" s="157">
        <f t="shared" si="4"/>
        <v>713.89825665767728</v>
      </c>
      <c r="N19" s="157">
        <f t="shared" si="4"/>
        <v>727.81927266250204</v>
      </c>
    </row>
    <row r="20" spans="2:14" x14ac:dyDescent="0.35">
      <c r="B20" s="83" t="s">
        <v>559</v>
      </c>
      <c r="C20" s="158"/>
      <c r="D20" s="159">
        <f>IFERROR(D21+D22,"")</f>
        <v>14500</v>
      </c>
      <c r="E20" s="159">
        <f t="shared" ref="E20:N20" si="5">IFERROR(E21+E22,"")</f>
        <v>15028.68</v>
      </c>
      <c r="F20" s="159">
        <f t="shared" si="5"/>
        <v>15577.454545200002</v>
      </c>
      <c r="G20" s="159">
        <f t="shared" si="5"/>
        <v>16147.105317008032</v>
      </c>
      <c r="H20" s="159">
        <f t="shared" si="5"/>
        <v>16738.444780303485</v>
      </c>
      <c r="I20" s="159">
        <f t="shared" si="5"/>
        <v>17352.31740343379</v>
      </c>
      <c r="J20" s="159">
        <f t="shared" si="5"/>
        <v>17989.600926717649</v>
      </c>
      <c r="K20" s="159">
        <f t="shared" si="5"/>
        <v>18651.207681386513</v>
      </c>
      <c r="L20" s="159">
        <f t="shared" si="5"/>
        <v>19338.085960973163</v>
      </c>
      <c r="M20" s="159">
        <f t="shared" si="5"/>
        <v>20051.221447236047</v>
      </c>
      <c r="N20" s="159">
        <f t="shared" si="5"/>
        <v>20791.638692791545</v>
      </c>
    </row>
    <row r="21" spans="2:14" outlineLevel="1" x14ac:dyDescent="0.35">
      <c r="B21" s="79" t="s">
        <v>560</v>
      </c>
      <c r="C21" s="158"/>
      <c r="D21" s="157">
        <v>2500</v>
      </c>
      <c r="E21" s="157">
        <f t="shared" ref="E21:N21" si="6">D21*(inflation+1)</f>
        <v>2550</v>
      </c>
      <c r="F21" s="157">
        <f t="shared" si="6"/>
        <v>2601</v>
      </c>
      <c r="G21" s="157">
        <f t="shared" si="6"/>
        <v>2653.02</v>
      </c>
      <c r="H21" s="157">
        <f t="shared" si="6"/>
        <v>2706.0803999999998</v>
      </c>
      <c r="I21" s="157">
        <f t="shared" si="6"/>
        <v>2760.2020079999998</v>
      </c>
      <c r="J21" s="157">
        <f t="shared" si="6"/>
        <v>2815.40604816</v>
      </c>
      <c r="K21" s="157">
        <f t="shared" si="6"/>
        <v>2871.7141691232</v>
      </c>
      <c r="L21" s="157">
        <f t="shared" si="6"/>
        <v>2929.148452505664</v>
      </c>
      <c r="M21" s="157">
        <f t="shared" si="6"/>
        <v>2987.7314215557772</v>
      </c>
      <c r="N21" s="157">
        <f t="shared" si="6"/>
        <v>3047.4860499868928</v>
      </c>
    </row>
    <row r="22" spans="2:14" outlineLevel="1" x14ac:dyDescent="0.35">
      <c r="B22" s="79" t="s">
        <v>561</v>
      </c>
      <c r="C22" s="158"/>
      <c r="D22" s="159">
        <f>D19*D23</f>
        <v>12000</v>
      </c>
      <c r="E22" s="159">
        <f t="shared" ref="E22:N22" si="7">E19*E23</f>
        <v>12478.68</v>
      </c>
      <c r="F22" s="159">
        <f t="shared" si="7"/>
        <v>12976.454545200002</v>
      </c>
      <c r="G22" s="159">
        <f t="shared" si="7"/>
        <v>13494.085317008032</v>
      </c>
      <c r="H22" s="159">
        <f t="shared" si="7"/>
        <v>14032.364380303485</v>
      </c>
      <c r="I22" s="159">
        <f t="shared" si="7"/>
        <v>14592.115395433791</v>
      </c>
      <c r="J22" s="159">
        <f t="shared" si="7"/>
        <v>15174.194878557648</v>
      </c>
      <c r="K22" s="159">
        <f t="shared" si="7"/>
        <v>15779.493512263312</v>
      </c>
      <c r="L22" s="159">
        <f t="shared" si="7"/>
        <v>16408.937508467498</v>
      </c>
      <c r="M22" s="159">
        <f t="shared" si="7"/>
        <v>17063.490025680268</v>
      </c>
      <c r="N22" s="159">
        <f t="shared" si="7"/>
        <v>17744.152642804653</v>
      </c>
    </row>
    <row r="23" spans="2:14" outlineLevel="1" x14ac:dyDescent="0.35">
      <c r="B23" s="79" t="s">
        <v>562</v>
      </c>
      <c r="C23" s="158"/>
      <c r="D23" s="159">
        <v>20</v>
      </c>
      <c r="E23" s="159">
        <f t="shared" ref="E23:N23" si="8">D23*(inflation+1)</f>
        <v>20.399999999999999</v>
      </c>
      <c r="F23" s="159">
        <f t="shared" si="8"/>
        <v>20.808</v>
      </c>
      <c r="G23" s="159">
        <f t="shared" si="8"/>
        <v>21.224160000000001</v>
      </c>
      <c r="H23" s="159">
        <f t="shared" si="8"/>
        <v>21.648643200000002</v>
      </c>
      <c r="I23" s="159">
        <f t="shared" si="8"/>
        <v>22.081616064000002</v>
      </c>
      <c r="J23" s="159">
        <f t="shared" si="8"/>
        <v>22.523248385280002</v>
      </c>
      <c r="K23" s="159">
        <f t="shared" si="8"/>
        <v>22.973713352985602</v>
      </c>
      <c r="L23" s="159">
        <f t="shared" si="8"/>
        <v>23.433187620045313</v>
      </c>
      <c r="M23" s="159">
        <f t="shared" si="8"/>
        <v>23.90185137244622</v>
      </c>
      <c r="N23" s="159">
        <f t="shared" si="8"/>
        <v>24.379888399895144</v>
      </c>
    </row>
    <row r="24" spans="2:14" x14ac:dyDescent="0.35">
      <c r="B24" s="117" t="s">
        <v>489</v>
      </c>
      <c r="C24" s="160"/>
      <c r="D24" s="161">
        <f>IFERROR(D17-D20,"")</f>
        <v>9500</v>
      </c>
      <c r="E24" s="161">
        <f t="shared" ref="E24:N24" si="9">IFERROR(E17-E20,"")</f>
        <v>9928.68</v>
      </c>
      <c r="F24" s="161">
        <f t="shared" si="9"/>
        <v>10375.454545200002</v>
      </c>
      <c r="G24" s="161">
        <f t="shared" si="9"/>
        <v>10841.065317008031</v>
      </c>
      <c r="H24" s="161">
        <f t="shared" si="9"/>
        <v>11326.283980303484</v>
      </c>
      <c r="I24" s="161">
        <f t="shared" si="9"/>
        <v>11831.913387433793</v>
      </c>
      <c r="J24" s="161">
        <f t="shared" si="9"/>
        <v>12358.788830397647</v>
      </c>
      <c r="K24" s="161">
        <f t="shared" si="9"/>
        <v>12907.779343140111</v>
      </c>
      <c r="L24" s="161">
        <f t="shared" si="9"/>
        <v>13479.789055961832</v>
      </c>
      <c r="M24" s="161">
        <f t="shared" si="9"/>
        <v>14075.75860412449</v>
      </c>
      <c r="N24" s="161">
        <f t="shared" si="9"/>
        <v>14696.666592817761</v>
      </c>
    </row>
    <row r="25" spans="2:14" x14ac:dyDescent="0.35">
      <c r="B25" s="79" t="s">
        <v>484</v>
      </c>
      <c r="C25" s="158"/>
      <c r="D25" s="159"/>
      <c r="E25" s="159"/>
      <c r="F25" s="159"/>
      <c r="G25" s="159"/>
      <c r="H25" s="159"/>
      <c r="I25" s="159"/>
      <c r="J25" s="159"/>
      <c r="K25" s="159"/>
      <c r="L25" s="159"/>
      <c r="M25" s="157">
        <f>8*N24</f>
        <v>117573.33274254209</v>
      </c>
      <c r="N25" s="162"/>
    </row>
    <row r="26" spans="2:14" x14ac:dyDescent="0.35">
      <c r="B26" s="117" t="s">
        <v>563</v>
      </c>
      <c r="C26" s="129">
        <v>-100000</v>
      </c>
      <c r="D26" s="163">
        <f t="shared" ref="D26:L26" si="10">D16+D24+D25</f>
        <v>9500</v>
      </c>
      <c r="E26" s="163">
        <f t="shared" si="10"/>
        <v>9928.68</v>
      </c>
      <c r="F26" s="163">
        <f t="shared" si="10"/>
        <v>10375.454545200002</v>
      </c>
      <c r="G26" s="163">
        <f t="shared" si="10"/>
        <v>10841.065317008031</v>
      </c>
      <c r="H26" s="163">
        <f t="shared" si="10"/>
        <v>11326.283980303484</v>
      </c>
      <c r="I26" s="163">
        <f t="shared" si="10"/>
        <v>11831.913387433793</v>
      </c>
      <c r="J26" s="163">
        <f t="shared" si="10"/>
        <v>12358.788830397647</v>
      </c>
      <c r="K26" s="163">
        <f t="shared" si="10"/>
        <v>12907.779343140111</v>
      </c>
      <c r="L26" s="163">
        <f t="shared" si="10"/>
        <v>13479.789055961832</v>
      </c>
      <c r="M26" s="163">
        <f>M16+M24+M25</f>
        <v>131649.09134666657</v>
      </c>
      <c r="N26" s="162"/>
    </row>
    <row r="27" spans="2:14" x14ac:dyDescent="0.35"/>
    <row r="28" spans="2:14" x14ac:dyDescent="0.35">
      <c r="B28" s="118" t="s">
        <v>579</v>
      </c>
      <c r="C28" s="53"/>
      <c r="D28" s="53"/>
      <c r="E28" s="53"/>
      <c r="F28" s="53"/>
      <c r="G28" s="53"/>
      <c r="H28" s="53"/>
      <c r="I28" s="53"/>
      <c r="J28" s="53"/>
      <c r="K28" s="53"/>
      <c r="L28" s="53"/>
      <c r="M28" s="53"/>
      <c r="N28" s="53"/>
    </row>
    <row r="29" spans="2:14" x14ac:dyDescent="0.35">
      <c r="B29" s="119" t="s">
        <v>579</v>
      </c>
      <c r="C29" s="120">
        <f>1/(1+$C$11)^C$15</f>
        <v>1</v>
      </c>
      <c r="D29" s="120">
        <f t="shared" ref="D29:M29" si="11">1/(1+$C$11)^D$15</f>
        <v>0.90909090909090906</v>
      </c>
      <c r="E29" s="120">
        <f t="shared" si="11"/>
        <v>0.82644628099173545</v>
      </c>
      <c r="F29" s="120">
        <f t="shared" si="11"/>
        <v>0.75131480090157754</v>
      </c>
      <c r="G29" s="120">
        <f>1/(1+$C$11)^G$15</f>
        <v>0.68301345536507052</v>
      </c>
      <c r="H29" s="120">
        <f>1/(1+$C$11)^H$15</f>
        <v>0.62092132305915493</v>
      </c>
      <c r="I29" s="120">
        <f t="shared" si="11"/>
        <v>0.56447393005377722</v>
      </c>
      <c r="J29" s="120">
        <f t="shared" si="11"/>
        <v>0.51315811823070645</v>
      </c>
      <c r="K29" s="120">
        <f t="shared" si="11"/>
        <v>0.46650738020973315</v>
      </c>
      <c r="L29" s="120">
        <f t="shared" si="11"/>
        <v>0.42409761837248466</v>
      </c>
      <c r="M29" s="120">
        <f t="shared" si="11"/>
        <v>0.38554328942953148</v>
      </c>
      <c r="N29" s="53"/>
    </row>
    <row r="30" spans="2:14" x14ac:dyDescent="0.35">
      <c r="B30" s="119" t="s">
        <v>580</v>
      </c>
      <c r="C30" s="121">
        <f>C26*C29</f>
        <v>-100000</v>
      </c>
      <c r="D30" s="121">
        <f t="shared" ref="D30:M30" si="12">D26*D29</f>
        <v>8636.363636363636</v>
      </c>
      <c r="E30" s="121">
        <f t="shared" si="12"/>
        <v>8205.5206611570247</v>
      </c>
      <c r="F30" s="121">
        <f t="shared" si="12"/>
        <v>7795.2325658903073</v>
      </c>
      <c r="G30" s="121">
        <f t="shared" si="12"/>
        <v>7404.5934820080793</v>
      </c>
      <c r="H30" s="121">
        <f t="shared" si="12"/>
        <v>7032.731234393751</v>
      </c>
      <c r="I30" s="121">
        <f t="shared" si="12"/>
        <v>6678.8066498606531</v>
      </c>
      <c r="J30" s="121">
        <f t="shared" si="12"/>
        <v>6342.0128198175298</v>
      </c>
      <c r="K30" s="121">
        <f t="shared" si="12"/>
        <v>6021.5743256936039</v>
      </c>
      <c r="L30" s="121">
        <f t="shared" si="12"/>
        <v>5716.7464347968962</v>
      </c>
      <c r="M30" s="121">
        <f t="shared" si="12"/>
        <v>50756.423728202695</v>
      </c>
      <c r="N30" s="53"/>
    </row>
    <row r="31" spans="2:14" x14ac:dyDescent="0.35">
      <c r="B31" s="53"/>
      <c r="C31" s="122"/>
      <c r="D31" s="122"/>
      <c r="E31" s="122"/>
      <c r="F31" s="122"/>
      <c r="G31" s="122"/>
      <c r="H31" s="122"/>
      <c r="I31" s="122"/>
      <c r="J31" s="122"/>
      <c r="K31" s="122"/>
      <c r="L31" s="122"/>
      <c r="M31" s="122"/>
      <c r="N31" s="53"/>
    </row>
    <row r="32" spans="2:14" s="55" customFormat="1" ht="20" customHeight="1" x14ac:dyDescent="0.35">
      <c r="B32" s="132" t="s">
        <v>564</v>
      </c>
      <c r="C32" s="106"/>
      <c r="D32" s="106"/>
      <c r="E32" s="106"/>
      <c r="F32" s="106"/>
      <c r="G32" s="106"/>
      <c r="H32" s="106"/>
      <c r="I32" s="106"/>
      <c r="J32" s="106"/>
      <c r="K32" s="106"/>
      <c r="L32" s="106"/>
      <c r="M32" s="106"/>
      <c r="N32" s="106"/>
    </row>
    <row r="33" spans="2:14" x14ac:dyDescent="0.35">
      <c r="B33" s="119" t="s">
        <v>581</v>
      </c>
      <c r="C33" s="134">
        <f>SUM(C30:M30)</f>
        <v>14590.005538184159</v>
      </c>
      <c r="D33" s="141"/>
      <c r="E33" s="136"/>
      <c r="F33" s="53"/>
      <c r="G33" s="53"/>
      <c r="H33" s="53"/>
      <c r="I33" s="53"/>
      <c r="J33" s="53"/>
      <c r="K33" s="53"/>
      <c r="L33" s="53"/>
      <c r="M33" s="53"/>
      <c r="N33" s="53"/>
    </row>
    <row r="34" spans="2:14" x14ac:dyDescent="0.35">
      <c r="B34" s="119" t="s">
        <v>565</v>
      </c>
      <c r="C34" s="139">
        <f>IFERROR(IRR(C26:M26),"not exist")</f>
        <v>0.1218722580620486</v>
      </c>
      <c r="D34" s="138"/>
      <c r="E34" s="140"/>
      <c r="F34" s="53"/>
      <c r="G34" s="53"/>
      <c r="H34" s="53"/>
      <c r="I34" s="53"/>
      <c r="J34" s="53"/>
      <c r="K34" s="53"/>
      <c r="L34" s="53"/>
      <c r="M34" s="53"/>
      <c r="N34" s="53"/>
    </row>
    <row r="35" spans="2:14" x14ac:dyDescent="0.35">
      <c r="B35" s="119" t="s">
        <v>566</v>
      </c>
      <c r="C35" s="135">
        <v>0.1</v>
      </c>
      <c r="D35" s="142"/>
      <c r="E35" s="137"/>
      <c r="F35" s="53"/>
      <c r="G35" s="53"/>
      <c r="H35" s="53"/>
      <c r="I35" s="53"/>
      <c r="J35" s="53"/>
      <c r="K35" s="53"/>
      <c r="L35" s="53"/>
      <c r="M35" s="53"/>
      <c r="N35" s="53"/>
    </row>
    <row r="36" spans="2:14" ht="21.5" customHeight="1" x14ac:dyDescent="0.35">
      <c r="B36" s="133" t="s">
        <v>593</v>
      </c>
      <c r="C36" s="191" t="str">
        <f>IF(C34="not exist","The project should not be invested",IF(C34&lt;C35,"The project should not be invested","The project should be invested"))</f>
        <v>The project should be invested</v>
      </c>
      <c r="D36" s="192"/>
      <c r="E36" s="191"/>
      <c r="F36" s="53"/>
      <c r="G36" s="53"/>
      <c r="H36" s="53"/>
      <c r="I36" s="53"/>
      <c r="J36" s="53"/>
      <c r="K36" s="53"/>
      <c r="L36" s="53"/>
      <c r="M36" s="53"/>
      <c r="N36" s="53"/>
    </row>
    <row r="37" spans="2:14" x14ac:dyDescent="0.35"/>
    <row r="38" spans="2:14" x14ac:dyDescent="0.35"/>
    <row r="39" spans="2:14" x14ac:dyDescent="0.35"/>
    <row r="40" spans="2:14" x14ac:dyDescent="0.35"/>
    <row r="41" spans="2:14" x14ac:dyDescent="0.35"/>
    <row r="42" spans="2:14" x14ac:dyDescent="0.35"/>
    <row r="43" spans="2:14" x14ac:dyDescent="0.35"/>
    <row r="44" spans="2:14" x14ac:dyDescent="0.35"/>
    <row r="45" spans="2:14" x14ac:dyDescent="0.35"/>
    <row r="46" spans="2:14" x14ac:dyDescent="0.35"/>
    <row r="47" spans="2:14" x14ac:dyDescent="0.35"/>
    <row r="48" spans="2:14" x14ac:dyDescent="0.35"/>
    <row r="49" spans="2:16" x14ac:dyDescent="0.35"/>
    <row r="50" spans="2:16" x14ac:dyDescent="0.35"/>
    <row r="51" spans="2:16" x14ac:dyDescent="0.35"/>
    <row r="52" spans="2:16" x14ac:dyDescent="0.35"/>
    <row r="53" spans="2:16" x14ac:dyDescent="0.35"/>
    <row r="54" spans="2:16" x14ac:dyDescent="0.35"/>
    <row r="55" spans="2:16" s="130" customFormat="1" ht="26.5" customHeight="1" x14ac:dyDescent="0.35">
      <c r="B55" s="131" t="s">
        <v>586</v>
      </c>
    </row>
    <row r="56" spans="2:16" x14ac:dyDescent="0.35"/>
    <row r="57" spans="2:16" x14ac:dyDescent="0.35">
      <c r="D57" s="189" t="s">
        <v>567</v>
      </c>
      <c r="E57" s="189"/>
      <c r="F57" s="189"/>
      <c r="G57" s="189"/>
      <c r="H57" s="189"/>
      <c r="I57" s="189"/>
      <c r="J57" s="189"/>
      <c r="K57" s="189"/>
      <c r="L57" s="189"/>
      <c r="M57" s="189"/>
      <c r="N57" s="189"/>
    </row>
    <row r="58" spans="2:16" x14ac:dyDescent="0.35">
      <c r="D58" s="123">
        <f>C34</f>
        <v>0.1218722580620486</v>
      </c>
      <c r="E58" s="123">
        <v>0.03</v>
      </c>
      <c r="F58" s="123">
        <f>E58*(1+0.005)</f>
        <v>3.0149999999999996E-2</v>
      </c>
      <c r="G58" s="123">
        <f t="shared" ref="G58:O58" si="13">F58*(1+0.005)</f>
        <v>3.0300749999999994E-2</v>
      </c>
      <c r="H58" s="123">
        <f t="shared" si="13"/>
        <v>3.0452253749999991E-2</v>
      </c>
      <c r="I58" s="123">
        <f t="shared" si="13"/>
        <v>3.0604515018749986E-2</v>
      </c>
      <c r="J58" s="123">
        <f t="shared" si="13"/>
        <v>3.0757537593843733E-2</v>
      </c>
      <c r="K58" s="123">
        <f t="shared" si="13"/>
        <v>3.0911325281812948E-2</v>
      </c>
      <c r="L58" s="123">
        <f t="shared" si="13"/>
        <v>3.1065881908222008E-2</v>
      </c>
      <c r="M58" s="123">
        <f t="shared" si="13"/>
        <v>3.1221211317763113E-2</v>
      </c>
      <c r="N58" s="123">
        <f t="shared" si="13"/>
        <v>3.1377317374351926E-2</v>
      </c>
      <c r="O58" s="123">
        <f t="shared" si="13"/>
        <v>3.1534203961223681E-2</v>
      </c>
      <c r="P58" s="108"/>
    </row>
    <row r="59" spans="2:16" x14ac:dyDescent="0.35">
      <c r="C59" s="190" t="s">
        <v>568</v>
      </c>
      <c r="D59" s="124">
        <v>0.04</v>
      </c>
      <c r="E59" s="125">
        <f t="dataTable" ref="E59:O69" dt2D="1" dtr="1" r1="C5" r2="C6"/>
        <v>0.15473927752540062</v>
      </c>
      <c r="F59" s="125">
        <v>0.15492213158765988</v>
      </c>
      <c r="G59" s="125">
        <v>0.15510586182573238</v>
      </c>
      <c r="H59" s="125">
        <v>0.15529047231013005</v>
      </c>
      <c r="I59" s="125">
        <v>0.15547596712950917</v>
      </c>
      <c r="J59" s="125">
        <v>0.15566235039074683</v>
      </c>
      <c r="K59" s="125">
        <v>0.15584962621902143</v>
      </c>
      <c r="L59" s="125">
        <v>0.15603779875789403</v>
      </c>
      <c r="M59" s="125">
        <v>0.15622687216938647</v>
      </c>
      <c r="N59" s="125">
        <v>0.15641685063406263</v>
      </c>
      <c r="O59" s="125">
        <v>0.15660773835111064</v>
      </c>
    </row>
    <row r="60" spans="2:16" x14ac:dyDescent="0.35">
      <c r="C60" s="190"/>
      <c r="D60" s="126">
        <f>D59*(1+0.003)</f>
        <v>4.0119999999999996E-2</v>
      </c>
      <c r="E60" s="125">
        <v>0.15486055878707106</v>
      </c>
      <c r="F60" s="125">
        <v>0.15504343369373097</v>
      </c>
      <c r="G60" s="125">
        <v>0.15522718487544607</v>
      </c>
      <c r="H60" s="125">
        <v>0.1554118164031848</v>
      </c>
      <c r="I60" s="125">
        <v>0.15559733236606199</v>
      </c>
      <c r="J60" s="125">
        <v>0.15578373687141545</v>
      </c>
      <c r="K60" s="125">
        <v>0.15597103404488721</v>
      </c>
      <c r="L60" s="125">
        <v>0.1561592280305022</v>
      </c>
      <c r="M60" s="125">
        <v>0.15634832299074941</v>
      </c>
      <c r="N60" s="125">
        <v>0.15653832310666194</v>
      </c>
      <c r="O60" s="125">
        <v>0.15672923257789861</v>
      </c>
    </row>
    <row r="61" spans="2:16" x14ac:dyDescent="0.35">
      <c r="C61" s="190"/>
      <c r="D61" s="126">
        <f t="shared" ref="D61:D69" si="14">D60*(1+0.003)</f>
        <v>4.0240359999999989E-2</v>
      </c>
      <c r="E61" s="125">
        <v>0.15498220384272532</v>
      </c>
      <c r="F61" s="125">
        <v>0.15516509965632053</v>
      </c>
      <c r="G61" s="125">
        <v>0.15534887184451063</v>
      </c>
      <c r="H61" s="125">
        <v>0.15553352447872126</v>
      </c>
      <c r="I61" s="125">
        <v>0.15571906164852822</v>
      </c>
      <c r="J61" s="125">
        <v>0.15590548746173161</v>
      </c>
      <c r="K61" s="125">
        <v>0.15609280604443709</v>
      </c>
      <c r="L61" s="125">
        <v>0.15628102154113588</v>
      </c>
      <c r="M61" s="125">
        <v>0.15647013811478527</v>
      </c>
      <c r="N61" s="125">
        <v>0.15666015994688909</v>
      </c>
      <c r="O61" s="125">
        <v>0.15685109123757823</v>
      </c>
    </row>
    <row r="62" spans="2:16" x14ac:dyDescent="0.35">
      <c r="C62" s="190"/>
      <c r="D62" s="126">
        <f t="shared" si="14"/>
        <v>4.0361081079999986E-2</v>
      </c>
      <c r="E62" s="125">
        <v>0.15510421378346106</v>
      </c>
      <c r="F62" s="125">
        <v>0.15528713056671384</v>
      </c>
      <c r="G62" s="125">
        <v>0.15547092382439898</v>
      </c>
      <c r="H62" s="125">
        <v>0.15565559762840264</v>
      </c>
      <c r="I62" s="125">
        <v>0.15584115606876159</v>
      </c>
      <c r="J62" s="125">
        <v>0.15602760325373932</v>
      </c>
      <c r="K62" s="125">
        <v>0.15621494330990693</v>
      </c>
      <c r="L62" s="125">
        <v>0.15640318038222412</v>
      </c>
      <c r="M62" s="125">
        <v>0.1565923186341176</v>
      </c>
      <c r="N62" s="125">
        <v>0.15678236224756215</v>
      </c>
      <c r="O62" s="125">
        <v>0.15697331542316362</v>
      </c>
    </row>
    <row r="63" spans="2:16" x14ac:dyDescent="0.35">
      <c r="C63" s="190"/>
      <c r="D63" s="126">
        <f t="shared" si="14"/>
        <v>4.0482164323239984E-2</v>
      </c>
      <c r="E63" s="125">
        <v>0.15522658970364844</v>
      </c>
      <c r="F63" s="125">
        <v>0.15540952751946868</v>
      </c>
      <c r="G63" s="125">
        <v>0.15559334190985896</v>
      </c>
      <c r="H63" s="125">
        <v>0.15577803694716663</v>
      </c>
      <c r="I63" s="125">
        <v>0.15596361672189007</v>
      </c>
      <c r="J63" s="125">
        <v>0.15615008534275865</v>
      </c>
      <c r="K63" s="125">
        <v>0.15633744693681084</v>
      </c>
      <c r="L63" s="125">
        <v>0.15652570564947466</v>
      </c>
      <c r="M63" s="125">
        <v>0.15671486564464732</v>
      </c>
      <c r="N63" s="125">
        <v>0.15690493110477832</v>
      </c>
      <c r="O63" s="125">
        <v>0.15709590623094782</v>
      </c>
    </row>
    <row r="64" spans="2:16" x14ac:dyDescent="0.35">
      <c r="C64" s="190"/>
      <c r="D64" s="126">
        <f t="shared" si="14"/>
        <v>4.0603610816209702E-2</v>
      </c>
      <c r="E64" s="125">
        <v>0.15534933270093854</v>
      </c>
      <c r="F64" s="125">
        <v>0.15553229161242577</v>
      </c>
      <c r="G64" s="125">
        <v>0.15571612719892047</v>
      </c>
      <c r="H64" s="125">
        <v>0.1559008435332323</v>
      </c>
      <c r="I64" s="125">
        <v>0.15608644470632504</v>
      </c>
      <c r="J64" s="125">
        <v>0.15627293482739391</v>
      </c>
      <c r="K64" s="125">
        <v>0.15646031802394478</v>
      </c>
      <c r="L64" s="125">
        <v>0.15664859844187706</v>
      </c>
      <c r="M64" s="125">
        <v>0.15683778024556094</v>
      </c>
      <c r="N64" s="125">
        <v>0.15702786761791931</v>
      </c>
      <c r="O64" s="125">
        <v>0.15721886476050972</v>
      </c>
    </row>
    <row r="65" spans="3:15" x14ac:dyDescent="0.35">
      <c r="C65" s="190"/>
      <c r="D65" s="126">
        <f t="shared" si="14"/>
        <v>4.0725421648658326E-2</v>
      </c>
      <c r="E65" s="125">
        <v>0.15547244387627401</v>
      </c>
      <c r="F65" s="125">
        <v>0.15565542394671561</v>
      </c>
      <c r="G65" s="125">
        <v>0.15583928079290477</v>
      </c>
      <c r="H65" s="125">
        <v>0.15602401848811365</v>
      </c>
      <c r="I65" s="125">
        <v>0.15620964112377189</v>
      </c>
      <c r="J65" s="125">
        <v>0.15639615280954255</v>
      </c>
      <c r="K65" s="125">
        <v>0.15658355767340137</v>
      </c>
      <c r="L65" s="125">
        <v>0.15677185986171938</v>
      </c>
      <c r="M65" s="125">
        <v>0.15696106353934058</v>
      </c>
      <c r="N65" s="125">
        <v>0.1571511728896644</v>
      </c>
      <c r="O65" s="125">
        <v>0.157342192114726</v>
      </c>
    </row>
    <row r="66" spans="3:15" x14ac:dyDescent="0.35">
      <c r="C66" s="190"/>
      <c r="D66" s="126">
        <f t="shared" si="14"/>
        <v>4.0847597913604296E-2</v>
      </c>
      <c r="E66" s="125">
        <v>0.15559592433389824</v>
      </c>
      <c r="F66" s="125">
        <v>0.1557789256267732</v>
      </c>
      <c r="G66" s="125">
        <v>0.15596280379643646</v>
      </c>
      <c r="H66" s="125">
        <v>0.15614756291662668</v>
      </c>
      <c r="I66" s="125">
        <v>0.15633320707923959</v>
      </c>
      <c r="J66" s="125">
        <v>0.15651974039440719</v>
      </c>
      <c r="K66" s="125">
        <v>0.15670716699057685</v>
      </c>
      <c r="L66" s="125">
        <v>0.15689549101459299</v>
      </c>
      <c r="M66" s="125">
        <v>0.15708471663177481</v>
      </c>
      <c r="N66" s="125">
        <v>0.15727484802599934</v>
      </c>
      <c r="O66" s="125">
        <v>0.15746588939978112</v>
      </c>
    </row>
    <row r="67" spans="3:15" x14ac:dyDescent="0.35">
      <c r="C67" s="190"/>
      <c r="D67" s="126">
        <f t="shared" si="14"/>
        <v>4.0970140707345101E-2</v>
      </c>
      <c r="E67" s="125">
        <v>0.15571977518136704</v>
      </c>
      <c r="F67" s="125">
        <v>0.15590279776034355</v>
      </c>
      <c r="G67" s="125">
        <v>0.15608669731745328</v>
      </c>
      <c r="H67" s="125">
        <v>0.15627147792690055</v>
      </c>
      <c r="I67" s="125">
        <v>0.15645714368105001</v>
      </c>
      <c r="J67" s="125">
        <v>0.15664369869050421</v>
      </c>
      <c r="K67" s="125">
        <v>0.15683114708418344</v>
      </c>
      <c r="L67" s="125">
        <v>0.15701949300940554</v>
      </c>
      <c r="M67" s="125">
        <v>0.15720874063196799</v>
      </c>
      <c r="N67" s="125">
        <v>0.15739889413622588</v>
      </c>
      <c r="O67" s="125">
        <v>0.15758995772517514</v>
      </c>
    </row>
    <row r="68" spans="3:15" x14ac:dyDescent="0.35">
      <c r="C68" s="190"/>
      <c r="D68" s="126">
        <f t="shared" si="14"/>
        <v>4.109305112946713E-2</v>
      </c>
      <c r="E68" s="125">
        <v>0.15584399752955602</v>
      </c>
      <c r="F68" s="125">
        <v>0.15602704145849366</v>
      </c>
      <c r="G68" s="125">
        <v>0.15621096246721322</v>
      </c>
      <c r="H68" s="125">
        <v>0.15639576463038662</v>
      </c>
      <c r="I68" s="125">
        <v>0.15658145204084883</v>
      </c>
      <c r="J68" s="125">
        <v>0.15676802880967355</v>
      </c>
      <c r="K68" s="125">
        <v>0.15695549906625583</v>
      </c>
      <c r="L68" s="125">
        <v>0.15714386695838956</v>
      </c>
      <c r="M68" s="125">
        <v>0.1573331366523496</v>
      </c>
      <c r="N68" s="125">
        <v>0.15752331233297245</v>
      </c>
      <c r="O68" s="125">
        <v>0.15771439820373612</v>
      </c>
    </row>
    <row r="69" spans="3:15" x14ac:dyDescent="0.35">
      <c r="C69" s="190"/>
      <c r="D69" s="126">
        <f t="shared" si="14"/>
        <v>4.1216330282855526E-2</v>
      </c>
      <c r="E69" s="125">
        <v>0.1559685924926717</v>
      </c>
      <c r="F69" s="125">
        <v>0.1561516578356219</v>
      </c>
      <c r="G69" s="125">
        <v>0.15633560036030736</v>
      </c>
      <c r="H69" s="125">
        <v>0.15652042414186984</v>
      </c>
      <c r="I69" s="125">
        <v>0.1567061332736146</v>
      </c>
      <c r="J69" s="125">
        <v>0.15689273186708985</v>
      </c>
      <c r="K69" s="125">
        <v>0.15708022405216449</v>
      </c>
      <c r="L69" s="125">
        <v>0.15726861397711178</v>
      </c>
      <c r="M69" s="125">
        <v>0.15745790580868535</v>
      </c>
      <c r="N69" s="125">
        <v>0.15764810373220306</v>
      </c>
      <c r="O69" s="125">
        <v>0.15783921195162742</v>
      </c>
    </row>
    <row r="70" spans="3:15" x14ac:dyDescent="0.35"/>
    <row r="71" spans="3:15" x14ac:dyDescent="0.35">
      <c r="C71" s="127"/>
    </row>
    <row r="72" spans="3:15" x14ac:dyDescent="0.35">
      <c r="C72" s="127"/>
    </row>
    <row r="73" spans="3:15" x14ac:dyDescent="0.35"/>
    <row r="74" spans="3:15" x14ac:dyDescent="0.35"/>
    <row r="75" spans="3:15" x14ac:dyDescent="0.35"/>
    <row r="76" spans="3:15" x14ac:dyDescent="0.35"/>
    <row r="77" spans="3:15" x14ac:dyDescent="0.35"/>
    <row r="78" spans="3:15" x14ac:dyDescent="0.35"/>
    <row r="79" spans="3:15" x14ac:dyDescent="0.35"/>
    <row r="80" spans="3:15" x14ac:dyDescent="0.35"/>
    <row r="81" s="54" customFormat="1" x14ac:dyDescent="0.35"/>
    <row r="82" s="54" customFormat="1" x14ac:dyDescent="0.35"/>
    <row r="83" s="54" customFormat="1" hidden="1" x14ac:dyDescent="0.35"/>
    <row r="84" s="54" customFormat="1" hidden="1" x14ac:dyDescent="0.35"/>
  </sheetData>
  <sheetProtection formatRows="0" selectLockedCells="1" sort="0" autoFilter="0"/>
  <protectedRanges>
    <protectedRange sqref="B2:C11" name="Range2"/>
    <protectedRange sqref="B2:C11" name="Range1"/>
  </protectedRanges>
  <dataConsolidate/>
  <mergeCells count="3">
    <mergeCell ref="D57:N57"/>
    <mergeCell ref="C59:C69"/>
    <mergeCell ref="C36:E36"/>
  </mergeCells>
  <conditionalFormatting sqref="E59:O69">
    <cfRule type="colorScale" priority="2">
      <colorScale>
        <cfvo type="min"/>
        <cfvo type="percentile" val="50"/>
        <cfvo type="max"/>
        <color rgb="FFF8696B"/>
        <color rgb="FFFFEB84"/>
        <color rgb="FF63BE7B"/>
      </colorScale>
    </cfRule>
  </conditionalFormatting>
  <conditionalFormatting sqref="C36">
    <cfRule type="containsText" dxfId="0" priority="1" operator="containsText" text="not">
      <formula>NOT(ISERROR(SEARCH("not",C36)))</formula>
    </cfRule>
  </conditionalFormatting>
  <dataValidations count="2">
    <dataValidation type="decimal" allowBlank="1" showInputMessage="1" showErrorMessage="1" errorTitle="Unit Price Alert" error="The chosen price is not allowed. " sqref="C7" xr:uid="{88271BE8-8474-4253-B6AE-6B70E48791F4}">
      <formula1>30</formula1>
      <formula2>100</formula2>
    </dataValidation>
    <dataValidation errorStyle="information" allowBlank="1" showInputMessage="1" showErrorMessage="1" error="no IRR exists" sqref="C34" xr:uid="{C76C10DA-293F-49C3-BE91-B21FA41415BA}"/>
  </dataValidations>
  <pageMargins left="0.7" right="0.7" top="0.75" bottom="0.75" header="0.3" footer="0.3"/>
  <pageSetup paperSize="9" orientation="landscape" r:id="rId1"/>
  <ignoredErrors>
    <ignoredError sqref="E22 F22:N22" formula="1"/>
    <ignoredError sqref="C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MaxIRR">
                <anchor moveWithCells="1" sizeWithCells="1">
                  <from>
                    <xdr:col>4</xdr:col>
                    <xdr:colOff>31750</xdr:colOff>
                    <xdr:row>5</xdr:row>
                    <xdr:rowOff>165100</xdr:rowOff>
                  </from>
                  <to>
                    <xdr:col>5</xdr:col>
                    <xdr:colOff>298450</xdr:colOff>
                    <xdr:row>8</xdr:row>
                    <xdr:rowOff>44450</xdr:rowOff>
                  </to>
                </anchor>
              </controlPr>
            </control>
          </mc:Choice>
        </mc:AlternateContent>
        <mc:AlternateContent xmlns:mc="http://schemas.openxmlformats.org/markup-compatibility/2006">
          <mc:Choice Requires="x14">
            <control shapeId="1051" r:id="rId5" name="Button 27">
              <controlPr defaultSize="0" print="0" autoFill="0" autoPict="0" macro="[0]!goToInputData">
                <anchor moveWithCells="1" sizeWithCells="1">
                  <from>
                    <xdr:col>10</xdr:col>
                    <xdr:colOff>6350</xdr:colOff>
                    <xdr:row>2</xdr:row>
                    <xdr:rowOff>57150</xdr:rowOff>
                  </from>
                  <to>
                    <xdr:col>11</xdr:col>
                    <xdr:colOff>419100</xdr:colOff>
                    <xdr:row>3</xdr:row>
                    <xdr:rowOff>44450</xdr:rowOff>
                  </to>
                </anchor>
              </controlPr>
            </control>
          </mc:Choice>
        </mc:AlternateContent>
        <mc:AlternateContent xmlns:mc="http://schemas.openxmlformats.org/markup-compatibility/2006">
          <mc:Choice Requires="x14">
            <control shapeId="1052" r:id="rId6" name="Button 28">
              <controlPr defaultSize="0" print="0" autoFill="0" autoPict="0" macro="[0]!goToScenarios">
                <anchor moveWithCells="1" sizeWithCells="1">
                  <from>
                    <xdr:col>9</xdr:col>
                    <xdr:colOff>755650</xdr:colOff>
                    <xdr:row>4</xdr:row>
                    <xdr:rowOff>6350</xdr:rowOff>
                  </from>
                  <to>
                    <xdr:col>11</xdr:col>
                    <xdr:colOff>412750</xdr:colOff>
                    <xdr:row>5</xdr:row>
                    <xdr:rowOff>0</xdr:rowOff>
                  </to>
                </anchor>
              </controlPr>
            </control>
          </mc:Choice>
        </mc:AlternateContent>
        <mc:AlternateContent xmlns:mc="http://schemas.openxmlformats.org/markup-compatibility/2006">
          <mc:Choice Requires="x14">
            <control shapeId="1053" r:id="rId7" name="Button 29">
              <controlPr defaultSize="0" print="0" autoFill="0" autoPict="0" macro="[0]!goToSimulation">
                <anchor moveWithCells="1" sizeWithCells="1">
                  <from>
                    <xdr:col>10</xdr:col>
                    <xdr:colOff>0</xdr:colOff>
                    <xdr:row>7</xdr:row>
                    <xdr:rowOff>6350</xdr:rowOff>
                  </from>
                  <to>
                    <xdr:col>11</xdr:col>
                    <xdr:colOff>450850</xdr:colOff>
                    <xdr:row>8</xdr:row>
                    <xdr:rowOff>12700</xdr:rowOff>
                  </to>
                </anchor>
              </controlPr>
            </control>
          </mc:Choice>
        </mc:AlternateContent>
        <mc:AlternateContent xmlns:mc="http://schemas.openxmlformats.org/markup-compatibility/2006">
          <mc:Choice Requires="x14">
            <control shapeId="1055" r:id="rId8" name="Button 31">
              <controlPr defaultSize="0" print="0" autoFill="0" autoPict="0" macro="[0]!goToLinear">
                <anchor moveWithCells="1" sizeWithCells="1">
                  <from>
                    <xdr:col>9</xdr:col>
                    <xdr:colOff>768350</xdr:colOff>
                    <xdr:row>5</xdr:row>
                    <xdr:rowOff>76200</xdr:rowOff>
                  </from>
                  <to>
                    <xdr:col>11</xdr:col>
                    <xdr:colOff>450850</xdr:colOff>
                    <xdr:row>6</xdr:row>
                    <xdr:rowOff>95250</xdr:rowOff>
                  </to>
                </anchor>
              </controlPr>
            </control>
          </mc:Choice>
        </mc:AlternateContent>
        <mc:AlternateContent xmlns:mc="http://schemas.openxmlformats.org/markup-compatibility/2006">
          <mc:Choice Requires="x14">
            <control shapeId="1064" r:id="rId9" name="Button 40">
              <controlPr defaultSize="0" print="0" autoFill="0" autoPict="0" macro="[0]!showMessage">
                <anchor moveWithCells="1" sizeWithCells="1">
                  <from>
                    <xdr:col>1</xdr:col>
                    <xdr:colOff>723900</xdr:colOff>
                    <xdr:row>31</xdr:row>
                    <xdr:rowOff>44450</xdr:rowOff>
                  </from>
                  <to>
                    <xdr:col>1</xdr:col>
                    <xdr:colOff>1397000</xdr:colOff>
                    <xdr:row>31</xdr:row>
                    <xdr:rowOff>215900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Chose the scenario with the Growth Rate and Inflation rate you want_x000a_" xr:uid="{B29D3CDE-13EB-4FF8-8751-1FDEB80F58D3}">
          <x14:formula1>
            <xm:f>'2.Scenarios'!$C$5:$C$8</xm:f>
          </x14:formula1>
          <xm:sqref>C2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26073-3643-4406-ADD6-0BF2483A2AAC}">
  <sheetPr codeName="Sheet3">
    <tabColor theme="9" tint="-0.249977111117893"/>
  </sheetPr>
  <dimension ref="A2:D205"/>
  <sheetViews>
    <sheetView workbookViewId="0">
      <selection activeCell="D8" sqref="D8"/>
    </sheetView>
  </sheetViews>
  <sheetFormatPr defaultRowHeight="14.5" x14ac:dyDescent="0.35"/>
  <cols>
    <col min="1" max="1" width="8.7265625" style="148"/>
    <col min="2" max="3" width="8.7265625" style="149" customWidth="1"/>
    <col min="4" max="4" width="8.7265625" style="150"/>
    <col min="5" max="6" width="8.7265625" style="54"/>
    <col min="7" max="7" width="18.6328125" style="54" customWidth="1"/>
    <col min="8" max="8" width="12.7265625" style="54" customWidth="1"/>
    <col min="9" max="16384" width="8.7265625" style="54"/>
  </cols>
  <sheetData>
    <row r="2" spans="1:4" ht="36" x14ac:dyDescent="0.35">
      <c r="A2" s="21"/>
      <c r="B2" s="151" t="s">
        <v>494</v>
      </c>
      <c r="C2" s="151" t="s">
        <v>495</v>
      </c>
      <c r="D2" s="152" t="s">
        <v>565</v>
      </c>
    </row>
    <row r="3" spans="1:4" ht="20" customHeight="1" x14ac:dyDescent="0.35">
      <c r="A3" s="21" t="s">
        <v>502</v>
      </c>
      <c r="B3" s="151">
        <f>IFERROR(AVERAGE(B$6:B$205),0)</f>
        <v>1.2080993107405933E-2</v>
      </c>
      <c r="C3" s="151">
        <f t="shared" ref="C3:D3" si="0">IFERROR(AVERAGE(C$6:C$205),0)</f>
        <v>1.6520249177803193E-2</v>
      </c>
      <c r="D3" s="164">
        <f t="shared" si="0"/>
        <v>0.15588132586600939</v>
      </c>
    </row>
    <row r="4" spans="1:4" ht="22.5" customHeight="1" x14ac:dyDescent="0.35">
      <c r="A4" s="22" t="s">
        <v>594</v>
      </c>
      <c r="B4" s="151">
        <f>IFERROR(_xlfn.STDEV.S(B$6:B$205),0)</f>
        <v>1.9203845654899947E-2</v>
      </c>
      <c r="C4" s="151">
        <f t="shared" ref="C4:D4" si="1">IFERROR(_xlfn.STDEV.S(C$6:C$205),0)</f>
        <v>9.026366239785295E-3</v>
      </c>
      <c r="D4" s="164">
        <f t="shared" si="1"/>
        <v>2.5650852209349501E-2</v>
      </c>
    </row>
    <row r="5" spans="1:4" x14ac:dyDescent="0.35">
      <c r="A5" s="144" t="s">
        <v>584</v>
      </c>
      <c r="B5" s="145"/>
      <c r="C5" s="145"/>
      <c r="D5" s="146"/>
    </row>
    <row r="6" spans="1:4" x14ac:dyDescent="0.35">
      <c r="A6" s="147">
        <v>1</v>
      </c>
      <c r="B6" s="111">
        <v>1.9901392405996879E-2</v>
      </c>
      <c r="C6" s="111">
        <v>1.908349873317379E-2</v>
      </c>
      <c r="D6" s="125">
        <v>0.168102295641817</v>
      </c>
    </row>
    <row r="7" spans="1:4" x14ac:dyDescent="0.35">
      <c r="A7" s="147">
        <v>2</v>
      </c>
      <c r="B7" s="111">
        <v>1.3038982354339961E-2</v>
      </c>
      <c r="C7" s="111">
        <v>1.5466782199548949E-2</v>
      </c>
      <c r="D7" s="125">
        <v>0.15621563782976344</v>
      </c>
    </row>
    <row r="8" spans="1:4" x14ac:dyDescent="0.35">
      <c r="A8" s="147">
        <v>3</v>
      </c>
      <c r="B8" s="111">
        <v>3.0601229184917283E-2</v>
      </c>
      <c r="C8" s="111">
        <v>1.3939782417635325E-2</v>
      </c>
      <c r="D8" s="125">
        <v>0.17545455015615397</v>
      </c>
    </row>
    <row r="9" spans="1:4" x14ac:dyDescent="0.35">
      <c r="A9" s="147">
        <v>4</v>
      </c>
      <c r="B9" s="111">
        <v>5.5591134009681492E-2</v>
      </c>
      <c r="C9" s="111">
        <v>2.0054049827170628E-2</v>
      </c>
      <c r="D9" s="125">
        <v>0.21091808335043161</v>
      </c>
    </row>
    <row r="10" spans="1:4" x14ac:dyDescent="0.35">
      <c r="A10" s="147">
        <v>5</v>
      </c>
      <c r="B10" s="111">
        <v>3.6031458466187702E-2</v>
      </c>
      <c r="C10" s="111">
        <v>1.8223316895266316E-2</v>
      </c>
      <c r="D10" s="125">
        <v>0.18626767183531534</v>
      </c>
    </row>
    <row r="11" spans="1:4" x14ac:dyDescent="0.35">
      <c r="A11" s="147">
        <v>6</v>
      </c>
      <c r="B11" s="111">
        <v>1.0285501069841324E-2</v>
      </c>
      <c r="C11" s="111">
        <v>9.4266211004604521E-3</v>
      </c>
      <c r="D11" s="125">
        <v>0.14679817297822284</v>
      </c>
    </row>
    <row r="12" spans="1:4" x14ac:dyDescent="0.35">
      <c r="A12" s="147">
        <v>7</v>
      </c>
      <c r="B12" s="111">
        <v>7.4197728464754174E-3</v>
      </c>
      <c r="C12" s="111">
        <v>2.3363590310412033E-2</v>
      </c>
      <c r="D12" s="125">
        <v>0.15742854121999272</v>
      </c>
    </row>
    <row r="13" spans="1:4" x14ac:dyDescent="0.35">
      <c r="A13" s="147">
        <v>8</v>
      </c>
      <c r="B13" s="111">
        <v>4.6161746299959353E-2</v>
      </c>
      <c r="C13" s="111">
        <v>2.1586182955814631E-2</v>
      </c>
      <c r="D13" s="125">
        <v>0.20161721796736609</v>
      </c>
    </row>
    <row r="14" spans="1:4" x14ac:dyDescent="0.35">
      <c r="A14" s="147">
        <v>9</v>
      </c>
      <c r="B14" s="111">
        <v>-3.4203643950208498E-3</v>
      </c>
      <c r="C14" s="111">
        <v>1.1619328744884277E-2</v>
      </c>
      <c r="D14" s="125">
        <v>0.13245694054183232</v>
      </c>
    </row>
    <row r="15" spans="1:4" x14ac:dyDescent="0.35">
      <c r="A15" s="147">
        <v>10</v>
      </c>
      <c r="B15" s="111">
        <v>-9.8855400163297396E-3</v>
      </c>
      <c r="C15" s="111">
        <v>1.3647243467251512E-2</v>
      </c>
      <c r="D15" s="125">
        <v>0.12653433751994014</v>
      </c>
    </row>
    <row r="16" spans="1:4" x14ac:dyDescent="0.35">
      <c r="A16" s="147">
        <v>11</v>
      </c>
      <c r="B16" s="111">
        <v>-1.2553598270740785E-2</v>
      </c>
      <c r="C16" s="111">
        <v>3.133618940914365E-2</v>
      </c>
      <c r="D16" s="125">
        <v>0.14065247876895004</v>
      </c>
    </row>
    <row r="17" spans="1:4" x14ac:dyDescent="0.35">
      <c r="A17" s="147">
        <v>12</v>
      </c>
      <c r="B17" s="111">
        <v>2.9231623655016581E-2</v>
      </c>
      <c r="C17" s="111">
        <v>2.7922601893874681E-2</v>
      </c>
      <c r="D17" s="125">
        <v>0.18830983111854982</v>
      </c>
    </row>
    <row r="18" spans="1:4" x14ac:dyDescent="0.35">
      <c r="A18" s="147">
        <v>13</v>
      </c>
      <c r="B18" s="111">
        <v>-2.7356881519058872E-2</v>
      </c>
      <c r="C18" s="111">
        <v>2.5993730714318208E-3</v>
      </c>
      <c r="D18" s="125">
        <v>9.3962741302779706E-2</v>
      </c>
    </row>
    <row r="19" spans="1:4" x14ac:dyDescent="0.35">
      <c r="A19" s="147">
        <v>14</v>
      </c>
      <c r="B19" s="111">
        <v>-4.0579544656524098E-3</v>
      </c>
      <c r="C19" s="111">
        <v>3.0170370411054255E-2</v>
      </c>
      <c r="D19" s="125">
        <v>0.15013909794650226</v>
      </c>
    </row>
    <row r="20" spans="1:4" x14ac:dyDescent="0.35">
      <c r="A20" s="147">
        <v>15</v>
      </c>
      <c r="B20" s="111">
        <v>1.0916375705212505E-2</v>
      </c>
      <c r="C20" s="111">
        <v>3.3942920405726565E-3</v>
      </c>
      <c r="D20" s="125">
        <v>0.14144093177334405</v>
      </c>
    </row>
    <row r="21" spans="1:4" x14ac:dyDescent="0.35">
      <c r="A21" s="147">
        <v>16</v>
      </c>
      <c r="B21" s="111">
        <v>-2.1705678113215464E-3</v>
      </c>
      <c r="C21" s="111">
        <v>3.7559410614531497E-2</v>
      </c>
      <c r="D21" s="125">
        <v>0.15985265826261807</v>
      </c>
    </row>
    <row r="22" spans="1:4" x14ac:dyDescent="0.35">
      <c r="A22" s="147">
        <v>17</v>
      </c>
      <c r="B22" s="111">
        <v>2.7417294162815853E-2</v>
      </c>
      <c r="C22" s="111">
        <v>1.5255165340584936E-2</v>
      </c>
      <c r="D22" s="125">
        <v>0.17307307437723973</v>
      </c>
    </row>
    <row r="23" spans="1:4" x14ac:dyDescent="0.35">
      <c r="A23" s="147">
        <v>18</v>
      </c>
      <c r="B23" s="111">
        <v>3.0662991996679156E-2</v>
      </c>
      <c r="C23" s="111">
        <v>3.1279318974528326E-2</v>
      </c>
      <c r="D23" s="125">
        <v>0.19348948733853399</v>
      </c>
    </row>
    <row r="24" spans="1:4" x14ac:dyDescent="0.35">
      <c r="A24" s="147">
        <v>19</v>
      </c>
      <c r="B24" s="111">
        <v>2.9486516429960231E-2</v>
      </c>
      <c r="C24" s="111">
        <v>2.6491514263468484E-2</v>
      </c>
      <c r="D24" s="125">
        <v>0.18713258987026959</v>
      </c>
    </row>
    <row r="25" spans="1:4" x14ac:dyDescent="0.35">
      <c r="A25" s="147">
        <v>20</v>
      </c>
      <c r="B25" s="111">
        <v>2.8302289432098574E-2</v>
      </c>
      <c r="C25" s="111">
        <v>1.3235464983928448E-2</v>
      </c>
      <c r="D25" s="125">
        <v>0.17202821162847037</v>
      </c>
    </row>
    <row r="26" spans="1:4" x14ac:dyDescent="0.35">
      <c r="A26" s="147">
        <v>21</v>
      </c>
      <c r="B26" s="111">
        <v>-6.7379196176557219E-3</v>
      </c>
      <c r="C26" s="111">
        <v>8.3499009157377742E-3</v>
      </c>
      <c r="D26" s="125">
        <v>0.12515665652598607</v>
      </c>
    </row>
    <row r="27" spans="1:4" x14ac:dyDescent="0.35">
      <c r="A27" s="147">
        <v>22</v>
      </c>
      <c r="B27" s="111">
        <v>-5.5824995936662718E-3</v>
      </c>
      <c r="C27" s="111">
        <v>1.8193698406345021E-2</v>
      </c>
      <c r="D27" s="125">
        <v>0.13634500951389561</v>
      </c>
    </row>
    <row r="28" spans="1:4" x14ac:dyDescent="0.35">
      <c r="A28" s="147">
        <v>23</v>
      </c>
      <c r="B28" s="111">
        <v>2.70691583114668E-3</v>
      </c>
      <c r="C28" s="111">
        <v>6.3734629453523119E-3</v>
      </c>
      <c r="D28" s="125">
        <v>0.13463624314159772</v>
      </c>
    </row>
    <row r="29" spans="1:4" x14ac:dyDescent="0.35">
      <c r="A29" s="147">
        <v>24</v>
      </c>
      <c r="B29" s="111">
        <v>7.5290179802641986E-3</v>
      </c>
      <c r="C29" s="111">
        <v>-2.2933218126211657E-3</v>
      </c>
      <c r="D29" s="125">
        <v>0.13167409881213699</v>
      </c>
    </row>
    <row r="30" spans="1:4" x14ac:dyDescent="0.35">
      <c r="A30" s="147">
        <v>25</v>
      </c>
      <c r="B30" s="111">
        <v>1.0488434826962306E-2</v>
      </c>
      <c r="C30" s="111">
        <v>2.548330243751383E-2</v>
      </c>
      <c r="D30" s="125">
        <v>0.16329757405317546</v>
      </c>
    </row>
    <row r="31" spans="1:4" x14ac:dyDescent="0.35">
      <c r="A31" s="147">
        <v>26</v>
      </c>
      <c r="B31" s="111">
        <v>2.0269315754600385E-2</v>
      </c>
      <c r="C31" s="111">
        <v>9.5038654564868173E-3</v>
      </c>
      <c r="D31" s="125">
        <v>0.15873196805191481</v>
      </c>
    </row>
    <row r="32" spans="1:4" x14ac:dyDescent="0.35">
      <c r="A32" s="147">
        <v>27</v>
      </c>
      <c r="B32" s="111">
        <v>5.1481981669254953E-2</v>
      </c>
      <c r="C32" s="111">
        <v>1.8866979993357902E-2</v>
      </c>
      <c r="D32" s="125">
        <v>0.20491432533030629</v>
      </c>
    </row>
    <row r="33" spans="1:4" x14ac:dyDescent="0.35">
      <c r="A33" s="147">
        <v>28</v>
      </c>
      <c r="B33" s="111">
        <v>2.9317124011066908E-3</v>
      </c>
      <c r="C33" s="111">
        <v>2.3626416384734172E-2</v>
      </c>
      <c r="D33" s="125">
        <v>0.15222014440721177</v>
      </c>
    </row>
    <row r="34" spans="1:4" x14ac:dyDescent="0.35">
      <c r="A34" s="147">
        <v>29</v>
      </c>
      <c r="B34" s="111">
        <v>-1.2575820307374122E-2</v>
      </c>
      <c r="C34" s="111">
        <v>2.858718245486341E-3</v>
      </c>
      <c r="D34" s="125">
        <v>0.11258179306726701</v>
      </c>
    </row>
    <row r="35" spans="1:4" x14ac:dyDescent="0.35">
      <c r="A35" s="147">
        <v>30</v>
      </c>
      <c r="B35" s="111">
        <v>1.0073155511823653E-2</v>
      </c>
      <c r="C35" s="111">
        <v>1.9574117079590187E-2</v>
      </c>
      <c r="D35" s="125">
        <v>0.15681357307979082</v>
      </c>
    </row>
    <row r="36" spans="1:4" x14ac:dyDescent="0.35">
      <c r="A36" s="147">
        <v>31</v>
      </c>
      <c r="B36" s="111">
        <v>2.1584161348636742E-2</v>
      </c>
      <c r="C36" s="111">
        <v>1.9283997178909315E-2</v>
      </c>
      <c r="D36" s="125">
        <v>0.17031204711836301</v>
      </c>
    </row>
    <row r="37" spans="1:4" x14ac:dyDescent="0.35">
      <c r="A37" s="147">
        <v>32</v>
      </c>
      <c r="B37" s="111">
        <v>-1.2490863677934927E-2</v>
      </c>
      <c r="C37" s="111">
        <v>3.2264378000434607E-3</v>
      </c>
      <c r="D37" s="125">
        <v>0.11304815179779748</v>
      </c>
    </row>
    <row r="38" spans="1:4" x14ac:dyDescent="0.35">
      <c r="A38" s="147">
        <v>33</v>
      </c>
      <c r="B38" s="111">
        <v>5.0126889667440359E-3</v>
      </c>
      <c r="C38" s="111">
        <v>3.0153712114997882E-2</v>
      </c>
      <c r="D38" s="125">
        <v>0.1613285706740879</v>
      </c>
    </row>
    <row r="39" spans="1:4" x14ac:dyDescent="0.35">
      <c r="A39" s="147">
        <v>34</v>
      </c>
      <c r="B39" s="111">
        <v>6.5789934770830814E-3</v>
      </c>
      <c r="C39" s="111">
        <v>1.6269410941536097E-2</v>
      </c>
      <c r="D39" s="125">
        <v>0.14925604010376126</v>
      </c>
    </row>
    <row r="40" spans="1:4" x14ac:dyDescent="0.35">
      <c r="A40" s="147">
        <v>35</v>
      </c>
      <c r="B40" s="111">
        <v>1.7496651108222412E-2</v>
      </c>
      <c r="C40" s="111">
        <v>3.4928060725953412E-2</v>
      </c>
      <c r="D40" s="125">
        <v>0.18140404456176595</v>
      </c>
    </row>
    <row r="41" spans="1:4" x14ac:dyDescent="0.35">
      <c r="A41" s="147">
        <v>36</v>
      </c>
      <c r="B41" s="111">
        <v>-8.8377564247375789E-3</v>
      </c>
      <c r="C41" s="111">
        <v>6.6607600563523255E-3</v>
      </c>
      <c r="D41" s="125">
        <v>0.12091511390555576</v>
      </c>
    </row>
    <row r="42" spans="1:4" x14ac:dyDescent="0.35">
      <c r="A42" s="147">
        <v>37</v>
      </c>
      <c r="B42" s="111">
        <v>-2.135283423349893E-2</v>
      </c>
      <c r="C42" s="111">
        <v>1.6423712312413925E-2</v>
      </c>
      <c r="D42" s="125">
        <v>0.11494379156039991</v>
      </c>
    </row>
    <row r="43" spans="1:4" x14ac:dyDescent="0.35">
      <c r="A43" s="147">
        <v>38</v>
      </c>
      <c r="B43" s="111">
        <v>2.3814089523162787E-2</v>
      </c>
      <c r="C43" s="111">
        <v>2.0165975881966221E-2</v>
      </c>
      <c r="D43" s="125">
        <v>0.1738692413903522</v>
      </c>
    </row>
    <row r="44" spans="1:4" x14ac:dyDescent="0.35">
      <c r="A44" s="147">
        <v>39</v>
      </c>
      <c r="B44" s="111">
        <v>-9.7925445519993475E-3</v>
      </c>
      <c r="C44" s="111">
        <v>2.2418217468086459E-2</v>
      </c>
      <c r="D44" s="125">
        <v>0.13531611716962133</v>
      </c>
    </row>
    <row r="45" spans="1:4" x14ac:dyDescent="0.35">
      <c r="A45" s="147">
        <v>40</v>
      </c>
      <c r="B45" s="111">
        <v>1.8399590780875101E-2</v>
      </c>
      <c r="C45" s="111">
        <v>1.9466046657233071E-2</v>
      </c>
      <c r="D45" s="125">
        <v>0.16670127466424645</v>
      </c>
    </row>
    <row r="46" spans="1:4" x14ac:dyDescent="0.35">
      <c r="A46" s="147">
        <v>41</v>
      </c>
      <c r="B46" s="111">
        <v>-1.3566730176084554E-2</v>
      </c>
      <c r="C46" s="111">
        <v>2.3709051933150586E-2</v>
      </c>
      <c r="D46" s="125">
        <v>0.13187172245840006</v>
      </c>
    </row>
    <row r="47" spans="1:4" x14ac:dyDescent="0.35">
      <c r="A47" s="147">
        <v>42</v>
      </c>
      <c r="B47" s="111">
        <v>1.1745698992800072E-2</v>
      </c>
      <c r="C47" s="111">
        <v>1.9666095656648081E-2</v>
      </c>
      <c r="D47" s="125">
        <v>0.15892340512807923</v>
      </c>
    </row>
    <row r="48" spans="1:4" x14ac:dyDescent="0.35">
      <c r="A48" s="147">
        <v>43</v>
      </c>
      <c r="B48" s="111">
        <v>-1.8179099944773271E-2</v>
      </c>
      <c r="C48" s="111">
        <v>7.9161109199448135E-3</v>
      </c>
      <c r="D48" s="125">
        <v>0.11062054094594176</v>
      </c>
    </row>
    <row r="49" spans="1:4" x14ac:dyDescent="0.35">
      <c r="A49" s="147">
        <v>44</v>
      </c>
      <c r="B49" s="111">
        <v>1.190327896376121E-2</v>
      </c>
      <c r="C49" s="111">
        <v>1.978825909436549E-2</v>
      </c>
      <c r="D49" s="125">
        <v>0.15923708702066564</v>
      </c>
    </row>
    <row r="50" spans="1:4" x14ac:dyDescent="0.35">
      <c r="A50" s="147">
        <v>45</v>
      </c>
      <c r="B50" s="111">
        <v>-1.0324352923871081E-2</v>
      </c>
      <c r="C50" s="111">
        <v>2.7103801076700872E-2</v>
      </c>
      <c r="D50" s="125">
        <v>0.13928061425515437</v>
      </c>
    </row>
    <row r="51" spans="1:4" x14ac:dyDescent="0.35">
      <c r="A51" s="147">
        <v>46</v>
      </c>
      <c r="B51" s="111">
        <v>-1.7834174551287184E-3</v>
      </c>
      <c r="C51" s="111">
        <v>2.8986839328736379E-2</v>
      </c>
      <c r="D51" s="125">
        <v>0.1517818746528492</v>
      </c>
    </row>
    <row r="52" spans="1:4" x14ac:dyDescent="0.35">
      <c r="A52" s="147">
        <v>47</v>
      </c>
      <c r="B52" s="111">
        <v>2.9131704649848537E-2</v>
      </c>
      <c r="C52" s="111">
        <v>7.9246920783207532E-3</v>
      </c>
      <c r="D52" s="125">
        <v>0.16750965053564104</v>
      </c>
    </row>
    <row r="53" spans="1:4" x14ac:dyDescent="0.35">
      <c r="A53" s="147">
        <v>48</v>
      </c>
      <c r="B53" s="111">
        <v>3.5332882145583139E-2</v>
      </c>
      <c r="C53" s="111">
        <v>7.3920432522812333E-3</v>
      </c>
      <c r="D53" s="125">
        <v>0.17417105442347225</v>
      </c>
    </row>
    <row r="54" spans="1:4" x14ac:dyDescent="0.35">
      <c r="A54" s="147">
        <v>49</v>
      </c>
      <c r="B54" s="111">
        <v>2.0020972531376205E-2</v>
      </c>
      <c r="C54" s="111">
        <v>1.7089046071328766E-2</v>
      </c>
      <c r="D54" s="125">
        <v>0.16620324242886242</v>
      </c>
    </row>
    <row r="55" spans="1:4" x14ac:dyDescent="0.35">
      <c r="A55" s="147">
        <v>50</v>
      </c>
      <c r="B55" s="111">
        <v>2.4685078334327478E-2</v>
      </c>
      <c r="C55" s="111">
        <v>1.2282877924383194E-2</v>
      </c>
      <c r="D55" s="125">
        <v>0.16679154073677349</v>
      </c>
    </row>
    <row r="56" spans="1:4" x14ac:dyDescent="0.35">
      <c r="A56" s="147">
        <v>51</v>
      </c>
      <c r="B56" s="111">
        <v>-3.0690828559839858E-3</v>
      </c>
      <c r="C56" s="111">
        <v>-9.0914841598278562E-3</v>
      </c>
      <c r="D56" s="125">
        <v>0.11225106036759924</v>
      </c>
    </row>
    <row r="57" spans="1:4" x14ac:dyDescent="0.35">
      <c r="A57" s="147">
        <v>52</v>
      </c>
      <c r="B57" s="111">
        <v>-1.8721312461272323E-2</v>
      </c>
      <c r="C57" s="111">
        <v>1.5171256706062751E-2</v>
      </c>
      <c r="D57" s="125">
        <v>0.1170344809449857</v>
      </c>
    </row>
    <row r="58" spans="1:4" x14ac:dyDescent="0.35">
      <c r="A58" s="147">
        <v>53</v>
      </c>
      <c r="B58" s="111">
        <v>1.1403105812637308E-2</v>
      </c>
      <c r="C58" s="111">
        <v>3.3482848996657016E-2</v>
      </c>
      <c r="D58" s="125">
        <v>0.17251466813914051</v>
      </c>
    </row>
    <row r="59" spans="1:4" x14ac:dyDescent="0.35">
      <c r="A59" s="147">
        <v>54</v>
      </c>
      <c r="B59" s="111">
        <v>3.7204319022699821E-2</v>
      </c>
      <c r="C59" s="111">
        <v>1.7092714888678511E-2</v>
      </c>
      <c r="D59" s="125">
        <v>0.18646066058513955</v>
      </c>
    </row>
    <row r="60" spans="1:4" x14ac:dyDescent="0.35">
      <c r="A60" s="147">
        <v>55</v>
      </c>
      <c r="B60" s="111">
        <v>5.0711863334476125E-3</v>
      </c>
      <c r="C60" s="111">
        <v>2.0454282263125432E-2</v>
      </c>
      <c r="D60" s="125">
        <v>0.15164218181813638</v>
      </c>
    </row>
    <row r="61" spans="1:4" x14ac:dyDescent="0.35">
      <c r="A61" s="147">
        <v>56</v>
      </c>
      <c r="B61" s="111">
        <v>-1.672253453699939E-3</v>
      </c>
      <c r="C61" s="111">
        <v>-4.7696768309703555E-3</v>
      </c>
      <c r="D61" s="125">
        <v>0.11823080492847859</v>
      </c>
    </row>
    <row r="62" spans="1:4" x14ac:dyDescent="0.35">
      <c r="A62" s="147">
        <v>57</v>
      </c>
      <c r="B62" s="111">
        <v>3.535009926421695E-2</v>
      </c>
      <c r="C62" s="111">
        <v>1.1527845355154271E-2</v>
      </c>
      <c r="D62" s="125">
        <v>0.17849759047942881</v>
      </c>
    </row>
    <row r="63" spans="1:4" x14ac:dyDescent="0.35">
      <c r="A63" s="147">
        <v>58</v>
      </c>
      <c r="B63" s="111">
        <v>1.4471446894699071E-2</v>
      </c>
      <c r="C63" s="111">
        <v>1.5432078510679919E-2</v>
      </c>
      <c r="D63" s="125">
        <v>0.15789443397518088</v>
      </c>
    </row>
    <row r="64" spans="1:4" x14ac:dyDescent="0.35">
      <c r="A64" s="147">
        <v>59</v>
      </c>
      <c r="B64" s="111">
        <v>-5.8062008075895014E-3</v>
      </c>
      <c r="C64" s="111">
        <v>1.8481187697591064E-3</v>
      </c>
      <c r="D64" s="125">
        <v>0.11983828839571919</v>
      </c>
    </row>
    <row r="65" spans="1:4" x14ac:dyDescent="0.35">
      <c r="A65" s="147">
        <v>60</v>
      </c>
      <c r="B65" s="111">
        <v>1.1558948095930941E-2</v>
      </c>
      <c r="C65" s="111">
        <v>1.4064498000549257E-3</v>
      </c>
      <c r="D65" s="125">
        <v>0.14018795664219574</v>
      </c>
    </row>
    <row r="66" spans="1:4" x14ac:dyDescent="0.35">
      <c r="A66" s="147">
        <v>61</v>
      </c>
      <c r="B66" s="111">
        <v>2.9540833767601311E-2</v>
      </c>
      <c r="C66" s="111">
        <v>1.4694152251587538E-2</v>
      </c>
      <c r="D66" s="125">
        <v>0.17499109890177489</v>
      </c>
    </row>
    <row r="67" spans="1:4" x14ac:dyDescent="0.35">
      <c r="A67" s="147">
        <v>62</v>
      </c>
      <c r="B67" s="111">
        <v>-8.1028411438382412E-3</v>
      </c>
      <c r="C67" s="111">
        <v>2.8771520418815335E-2</v>
      </c>
      <c r="D67" s="125">
        <v>0.14370835419044448</v>
      </c>
    </row>
    <row r="68" spans="1:4" x14ac:dyDescent="0.35">
      <c r="A68" s="147">
        <v>63</v>
      </c>
      <c r="B68" s="111">
        <v>-5.8573865320120846E-3</v>
      </c>
      <c r="C68" s="111">
        <v>-2.1977805310119392E-4</v>
      </c>
      <c r="D68" s="125">
        <v>0.11772293805666911</v>
      </c>
    </row>
    <row r="69" spans="1:4" x14ac:dyDescent="0.35">
      <c r="A69" s="147">
        <v>64</v>
      </c>
      <c r="B69" s="111">
        <v>3.469235019106006E-2</v>
      </c>
      <c r="C69" s="111">
        <v>2.9096793250327886E-2</v>
      </c>
      <c r="D69" s="125">
        <v>0.19601281362642498</v>
      </c>
    </row>
    <row r="70" spans="1:4" x14ac:dyDescent="0.35">
      <c r="A70" s="147">
        <v>65</v>
      </c>
      <c r="B70" s="111">
        <v>7.558600682747111E-3</v>
      </c>
      <c r="C70" s="111">
        <v>1.1144836988236156E-2</v>
      </c>
      <c r="D70" s="125">
        <v>0.14526841839104643</v>
      </c>
    </row>
    <row r="71" spans="1:4" x14ac:dyDescent="0.35">
      <c r="A71" s="147">
        <v>66</v>
      </c>
      <c r="B71" s="111">
        <v>4.7248543479245453E-2</v>
      </c>
      <c r="C71" s="111">
        <v>2.2654332185951996E-2</v>
      </c>
      <c r="D71" s="125">
        <v>0.20400822675621555</v>
      </c>
    </row>
    <row r="72" spans="1:4" x14ac:dyDescent="0.35">
      <c r="A72" s="147">
        <v>67</v>
      </c>
      <c r="B72" s="111">
        <v>2.0375064569998436E-2</v>
      </c>
      <c r="C72" s="111">
        <v>1.4318202359286365E-2</v>
      </c>
      <c r="D72" s="125">
        <v>0.16378691776384602</v>
      </c>
    </row>
    <row r="73" spans="1:4" x14ac:dyDescent="0.35">
      <c r="A73" s="147">
        <v>68</v>
      </c>
      <c r="B73" s="111">
        <v>1.4182591339125819E-2</v>
      </c>
      <c r="C73" s="111">
        <v>1.6600862510490162E-2</v>
      </c>
      <c r="D73" s="125">
        <v>0.15873748393470621</v>
      </c>
    </row>
    <row r="74" spans="1:4" x14ac:dyDescent="0.35">
      <c r="A74" s="147">
        <v>69</v>
      </c>
      <c r="B74" s="111">
        <v>1.7980749565442853E-2</v>
      </c>
      <c r="C74" s="111">
        <v>9.7155376127278786E-3</v>
      </c>
      <c r="D74" s="125">
        <v>0.15624296073763455</v>
      </c>
    </row>
    <row r="75" spans="1:4" x14ac:dyDescent="0.35">
      <c r="A75" s="147">
        <v>70</v>
      </c>
      <c r="B75" s="111">
        <v>3.4881178012967973E-2</v>
      </c>
      <c r="C75" s="111">
        <v>8.8860522345445281E-3</v>
      </c>
      <c r="D75" s="125">
        <v>0.17520210578110151</v>
      </c>
    </row>
    <row r="76" spans="1:4" x14ac:dyDescent="0.35">
      <c r="A76" s="147">
        <v>71</v>
      </c>
      <c r="B76" s="111">
        <v>1.2513062365135568E-2</v>
      </c>
      <c r="C76" s="111">
        <v>2.1345394926955648E-2</v>
      </c>
      <c r="D76" s="125">
        <v>0.16155152566063302</v>
      </c>
    </row>
    <row r="77" spans="1:4" x14ac:dyDescent="0.35">
      <c r="A77" s="147">
        <v>72</v>
      </c>
      <c r="B77" s="111">
        <v>2.0021746008575494E-2</v>
      </c>
      <c r="C77" s="111">
        <v>7.545434895099264E-3</v>
      </c>
      <c r="D77" s="125">
        <v>0.15643494748208586</v>
      </c>
    </row>
    <row r="78" spans="1:4" x14ac:dyDescent="0.35">
      <c r="A78" s="147">
        <v>73</v>
      </c>
      <c r="B78" s="111">
        <v>6.1689700781865477E-3</v>
      </c>
      <c r="C78" s="111">
        <v>2.0583457440826111E-2</v>
      </c>
      <c r="D78" s="125">
        <v>0.1531061869246928</v>
      </c>
    </row>
    <row r="79" spans="1:4" x14ac:dyDescent="0.35">
      <c r="A79" s="147">
        <v>74</v>
      </c>
      <c r="B79" s="111">
        <v>2.8704026930655331E-2</v>
      </c>
      <c r="C79" s="111">
        <v>5.8699220311081105E-3</v>
      </c>
      <c r="D79" s="125">
        <v>0.16488632475587184</v>
      </c>
    </row>
    <row r="80" spans="1:4" x14ac:dyDescent="0.35">
      <c r="A80" s="147">
        <v>75</v>
      </c>
      <c r="B80" s="111">
        <v>4.484100905280558E-2</v>
      </c>
      <c r="C80" s="111">
        <v>2.2408129270319183E-2</v>
      </c>
      <c r="D80" s="125">
        <v>0.20094382238079533</v>
      </c>
    </row>
    <row r="81" spans="1:4" x14ac:dyDescent="0.35">
      <c r="A81" s="147">
        <v>76</v>
      </c>
      <c r="B81" s="111">
        <v>2.5464076337559163E-2</v>
      </c>
      <c r="C81" s="111">
        <v>2.244393108670735E-2</v>
      </c>
      <c r="D81" s="125">
        <v>0.17817406977362649</v>
      </c>
    </row>
    <row r="82" spans="1:4" x14ac:dyDescent="0.35">
      <c r="A82" s="147">
        <v>77</v>
      </c>
      <c r="B82" s="111">
        <v>2.4047496628851171E-2</v>
      </c>
      <c r="C82" s="111">
        <v>2.7476699391009038E-2</v>
      </c>
      <c r="D82" s="125">
        <v>0.18166420684799722</v>
      </c>
    </row>
    <row r="83" spans="1:4" x14ac:dyDescent="0.35">
      <c r="A83" s="147">
        <v>78</v>
      </c>
      <c r="B83" s="111">
        <v>-1.8126945047351316E-2</v>
      </c>
      <c r="C83" s="111">
        <v>1.9676418835851656E-2</v>
      </c>
      <c r="D83" s="125">
        <v>0.12218547692779236</v>
      </c>
    </row>
    <row r="84" spans="1:4" x14ac:dyDescent="0.35">
      <c r="A84" s="147">
        <v>79</v>
      </c>
      <c r="B84" s="111">
        <v>-7.4692011475679925E-3</v>
      </c>
      <c r="C84" s="111">
        <v>9.8685755824719675E-3</v>
      </c>
      <c r="D84" s="125">
        <v>0.12576739783972268</v>
      </c>
    </row>
    <row r="85" spans="1:4" x14ac:dyDescent="0.35">
      <c r="A85" s="147">
        <v>80</v>
      </c>
      <c r="B85" s="111">
        <v>1.7937226238405667E-2</v>
      </c>
      <c r="C85" s="111">
        <v>2.1355664939368302E-2</v>
      </c>
      <c r="D85" s="125">
        <v>0.16807846325505649</v>
      </c>
    </row>
    <row r="86" spans="1:4" x14ac:dyDescent="0.35">
      <c r="A86" s="147">
        <v>81</v>
      </c>
      <c r="B86" s="111">
        <v>7.3467457660366222E-3</v>
      </c>
      <c r="C86" s="111">
        <v>1.3702114072931298E-2</v>
      </c>
      <c r="D86" s="125">
        <v>0.14759364459203228</v>
      </c>
    </row>
    <row r="87" spans="1:4" x14ac:dyDescent="0.35">
      <c r="A87" s="147">
        <v>82</v>
      </c>
      <c r="B87" s="111">
        <v>3.2574385062036158E-2</v>
      </c>
      <c r="C87" s="111">
        <v>1.3510193917101723E-2</v>
      </c>
      <c r="D87" s="125">
        <v>0.17731971775708888</v>
      </c>
    </row>
    <row r="88" spans="1:4" x14ac:dyDescent="0.35">
      <c r="A88" s="147">
        <v>83</v>
      </c>
      <c r="B88" s="111">
        <v>2.6041781892350603E-2</v>
      </c>
      <c r="C88" s="111">
        <v>1.5435878036173583E-2</v>
      </c>
      <c r="D88" s="125">
        <v>0.17163795199839726</v>
      </c>
    </row>
    <row r="89" spans="1:4" x14ac:dyDescent="0.35">
      <c r="A89" s="147">
        <v>84</v>
      </c>
      <c r="B89" s="111">
        <v>3.8070398321492505E-2</v>
      </c>
      <c r="C89" s="111">
        <v>1.3339742103129243E-2</v>
      </c>
      <c r="D89" s="125">
        <v>0.18355261084449048</v>
      </c>
    </row>
    <row r="90" spans="1:4" x14ac:dyDescent="0.35">
      <c r="A90" s="147">
        <v>85</v>
      </c>
      <c r="B90" s="111">
        <v>2.7163778529227953E-2</v>
      </c>
      <c r="C90" s="111">
        <v>4.086165169047027E-2</v>
      </c>
      <c r="D90" s="125">
        <v>0.19919790901855805</v>
      </c>
    </row>
    <row r="91" spans="1:4" x14ac:dyDescent="0.35">
      <c r="A91" s="147">
        <v>86</v>
      </c>
      <c r="B91" s="111">
        <v>2.0571058818961034E-2</v>
      </c>
      <c r="C91" s="111">
        <v>2.3770527781488041E-2</v>
      </c>
      <c r="D91" s="125">
        <v>0.17370113648113117</v>
      </c>
    </row>
    <row r="92" spans="1:4" x14ac:dyDescent="0.35">
      <c r="A92" s="147">
        <v>87</v>
      </c>
      <c r="B92" s="111">
        <v>-2.2426628306878013E-2</v>
      </c>
      <c r="C92" s="111">
        <v>4.9949229026120326E-3</v>
      </c>
      <c r="D92" s="125">
        <v>0.10247234128524019</v>
      </c>
    </row>
    <row r="93" spans="1:4" x14ac:dyDescent="0.35">
      <c r="A93" s="147">
        <v>88</v>
      </c>
      <c r="B93" s="111">
        <v>4.0051792259417476E-2</v>
      </c>
      <c r="C93" s="111">
        <v>1.724296162997583E-2</v>
      </c>
      <c r="D93" s="125">
        <v>0.18994043293540419</v>
      </c>
    </row>
    <row r="94" spans="1:4" x14ac:dyDescent="0.35">
      <c r="A94" s="147">
        <v>89</v>
      </c>
      <c r="B94" s="111">
        <v>6.6613501793165832E-3</v>
      </c>
      <c r="C94" s="111">
        <v>7.9570996055968474E-3</v>
      </c>
      <c r="D94" s="125">
        <v>0.14097718786839586</v>
      </c>
    </row>
    <row r="95" spans="1:4" x14ac:dyDescent="0.35">
      <c r="A95" s="147">
        <v>90</v>
      </c>
      <c r="B95" s="111">
        <v>4.6481112490603452E-2</v>
      </c>
      <c r="C95" s="111">
        <v>2.0005023671095114E-2</v>
      </c>
      <c r="D95" s="125">
        <v>0.20032248286249899</v>
      </c>
    </row>
    <row r="96" spans="1:4" x14ac:dyDescent="0.35">
      <c r="A96" s="147">
        <v>91</v>
      </c>
      <c r="B96" s="111">
        <v>5.4895412556238768E-3</v>
      </c>
      <c r="C96" s="111">
        <v>9.2759737793357659E-3</v>
      </c>
      <c r="D96" s="125">
        <v>0.14089914412033777</v>
      </c>
    </row>
    <row r="97" spans="1:4" x14ac:dyDescent="0.35">
      <c r="A97" s="147">
        <v>92</v>
      </c>
      <c r="B97" s="111">
        <v>2.857043235326992E-2</v>
      </c>
      <c r="C97" s="111">
        <v>2.3118690129053668E-2</v>
      </c>
      <c r="D97" s="125">
        <v>0.1825576521752823</v>
      </c>
    </row>
    <row r="98" spans="1:4" x14ac:dyDescent="0.35">
      <c r="A98" s="147">
        <v>93</v>
      </c>
      <c r="B98" s="111">
        <v>-7.5254423934722394E-3</v>
      </c>
      <c r="C98" s="111">
        <v>1.9604873126384308E-2</v>
      </c>
      <c r="D98" s="125">
        <v>0.13534624727210365</v>
      </c>
    </row>
    <row r="99" spans="1:4" x14ac:dyDescent="0.35">
      <c r="A99" s="147">
        <v>94</v>
      </c>
      <c r="B99" s="111">
        <v>-1.494860458480359E-2</v>
      </c>
      <c r="C99" s="111">
        <v>1.2802166010549992E-2</v>
      </c>
      <c r="D99" s="125">
        <v>0.11942773823098318</v>
      </c>
    </row>
    <row r="100" spans="1:4" x14ac:dyDescent="0.35">
      <c r="A100" s="147">
        <v>95</v>
      </c>
      <c r="B100" s="111">
        <v>8.339656604313659E-3</v>
      </c>
      <c r="C100" s="111">
        <v>-8.6364083528782387E-4</v>
      </c>
      <c r="D100" s="125">
        <v>0.13407811764741107</v>
      </c>
    </row>
    <row r="101" spans="1:4" x14ac:dyDescent="0.35">
      <c r="A101" s="147">
        <v>96</v>
      </c>
      <c r="B101" s="111">
        <v>-2.8854808307859262E-2</v>
      </c>
      <c r="C101" s="111">
        <v>2.5577812891145899E-2</v>
      </c>
      <c r="D101" s="125">
        <v>0.11423275743941841</v>
      </c>
    </row>
    <row r="102" spans="1:4" x14ac:dyDescent="0.35">
      <c r="A102" s="147">
        <v>97</v>
      </c>
      <c r="B102" s="111">
        <v>4.9952040228630505E-3</v>
      </c>
      <c r="C102" s="111">
        <v>1.775809099410848E-2</v>
      </c>
      <c r="D102" s="125">
        <v>0.14883750219374425</v>
      </c>
    </row>
    <row r="103" spans="1:4" x14ac:dyDescent="0.35">
      <c r="A103" s="147">
        <v>98</v>
      </c>
      <c r="B103" s="111">
        <v>-1.2312898371049591E-2</v>
      </c>
      <c r="C103" s="111">
        <v>1.4360588144077946E-2</v>
      </c>
      <c r="D103" s="125">
        <v>0.12423423400214872</v>
      </c>
    </row>
    <row r="104" spans="1:4" x14ac:dyDescent="0.35">
      <c r="A104" s="147">
        <v>99</v>
      </c>
      <c r="B104" s="111">
        <v>-2.6500058510852895E-2</v>
      </c>
      <c r="C104" s="111">
        <v>3.2047196437704442E-2</v>
      </c>
      <c r="D104" s="125">
        <v>0.12352726687541371</v>
      </c>
    </row>
    <row r="105" spans="1:4" x14ac:dyDescent="0.35">
      <c r="A105" s="147">
        <v>100</v>
      </c>
      <c r="B105" s="111">
        <v>8.8235249799256989E-3</v>
      </c>
      <c r="C105" s="111">
        <v>9.7078332032337917E-3</v>
      </c>
      <c r="D105" s="125">
        <v>0.145334127892218</v>
      </c>
    </row>
    <row r="106" spans="1:4" x14ac:dyDescent="0.35">
      <c r="A106" s="147">
        <v>101</v>
      </c>
      <c r="B106" s="111">
        <v>1.318647709518146E-2</v>
      </c>
      <c r="C106" s="111">
        <v>2.1258342106723227E-2</v>
      </c>
      <c r="D106" s="125">
        <v>0.16227447210003576</v>
      </c>
    </row>
    <row r="107" spans="1:4" x14ac:dyDescent="0.35">
      <c r="A107" s="147">
        <v>102</v>
      </c>
      <c r="B107" s="111">
        <v>-1.0807295513873475E-2</v>
      </c>
      <c r="C107" s="111">
        <v>2.3298385467684056E-2</v>
      </c>
      <c r="D107" s="125">
        <v>0.1349201787087233</v>
      </c>
    </row>
    <row r="108" spans="1:4" x14ac:dyDescent="0.35">
      <c r="A108" s="147">
        <v>103</v>
      </c>
      <c r="B108" s="111">
        <v>2.2141163012555698E-2</v>
      </c>
      <c r="C108" s="111">
        <v>1.9629922119310507E-2</v>
      </c>
      <c r="D108" s="125">
        <v>0.17132966975386243</v>
      </c>
    </row>
    <row r="109" spans="1:4" x14ac:dyDescent="0.35">
      <c r="A109" s="147">
        <v>104</v>
      </c>
      <c r="B109" s="111">
        <v>2.9031763084065444E-2</v>
      </c>
      <c r="C109" s="111">
        <v>1.6592856257040333E-2</v>
      </c>
      <c r="D109" s="125">
        <v>0.1763563464636515</v>
      </c>
    </row>
    <row r="110" spans="1:4" x14ac:dyDescent="0.35">
      <c r="A110" s="147">
        <v>105</v>
      </c>
      <c r="B110" s="111">
        <v>-1.8276383326908369E-2</v>
      </c>
      <c r="C110" s="111">
        <v>5.4294959024338632E-3</v>
      </c>
      <c r="D110" s="125">
        <v>0.10806831683611251</v>
      </c>
    </row>
    <row r="111" spans="1:4" x14ac:dyDescent="0.35">
      <c r="A111" s="147">
        <v>106</v>
      </c>
      <c r="B111" s="111">
        <v>4.7469572601229838E-2</v>
      </c>
      <c r="C111" s="111">
        <v>2.3555050656264846E-2</v>
      </c>
      <c r="D111" s="125">
        <v>0.20521576610896508</v>
      </c>
    </row>
    <row r="112" spans="1:4" x14ac:dyDescent="0.35">
      <c r="A112" s="147">
        <v>107</v>
      </c>
      <c r="B112" s="111">
        <v>9.7774544370134962E-3</v>
      </c>
      <c r="C112" s="111">
        <v>1.2540740165113702E-2</v>
      </c>
      <c r="D112" s="125">
        <v>0.149341383916203</v>
      </c>
    </row>
    <row r="113" spans="1:4" x14ac:dyDescent="0.35">
      <c r="A113" s="147">
        <v>108</v>
      </c>
      <c r="B113" s="111">
        <v>9.027531674520594E-3</v>
      </c>
      <c r="C113" s="111">
        <v>2.7436466108110846E-2</v>
      </c>
      <c r="D113" s="125">
        <v>0.16349756355569323</v>
      </c>
    </row>
    <row r="114" spans="1:4" x14ac:dyDescent="0.35">
      <c r="A114" s="147">
        <v>109</v>
      </c>
      <c r="B114" s="111">
        <v>2.2130882014722093E-2</v>
      </c>
      <c r="C114" s="111">
        <v>9.6429775774630726E-3</v>
      </c>
      <c r="D114" s="125">
        <v>0.16106994653633033</v>
      </c>
    </row>
    <row r="115" spans="1:4" x14ac:dyDescent="0.35">
      <c r="A115" s="147">
        <v>110</v>
      </c>
      <c r="B115" s="111">
        <v>1.4521770698919141E-3</v>
      </c>
      <c r="C115" s="111">
        <v>1.953730580532273E-2</v>
      </c>
      <c r="D115" s="125">
        <v>0.14631213504428753</v>
      </c>
    </row>
    <row r="116" spans="1:4" x14ac:dyDescent="0.35">
      <c r="A116" s="147">
        <v>111</v>
      </c>
      <c r="B116" s="111">
        <v>2.5212897053922864E-2</v>
      </c>
      <c r="C116" s="111">
        <v>1.2429753699018341E-2</v>
      </c>
      <c r="D116" s="125">
        <v>0.16756431278835771</v>
      </c>
    </row>
    <row r="117" spans="1:4" x14ac:dyDescent="0.35">
      <c r="A117" s="147">
        <v>112</v>
      </c>
      <c r="B117" s="111">
        <v>4.4655716678502308E-2</v>
      </c>
      <c r="C117" s="111">
        <v>1.2628614670615268E-2</v>
      </c>
      <c r="D117" s="125">
        <v>0.19044111303032674</v>
      </c>
    </row>
    <row r="118" spans="1:4" x14ac:dyDescent="0.35">
      <c r="A118" s="147">
        <v>113</v>
      </c>
      <c r="B118" s="111">
        <v>8.4733989056757011E-3</v>
      </c>
      <c r="C118" s="111">
        <v>2.1179527456993644E-2</v>
      </c>
      <c r="D118" s="125">
        <v>0.15650234914131267</v>
      </c>
    </row>
    <row r="119" spans="1:4" x14ac:dyDescent="0.35">
      <c r="A119" s="147">
        <v>114</v>
      </c>
      <c r="B119" s="111">
        <v>5.792238100515973E-3</v>
      </c>
      <c r="C119" s="111">
        <v>2.094965171492837E-2</v>
      </c>
      <c r="D119" s="125">
        <v>0.15301732317697403</v>
      </c>
    </row>
    <row r="120" spans="1:4" x14ac:dyDescent="0.35">
      <c r="A120" s="147">
        <v>115</v>
      </c>
      <c r="B120" s="111">
        <v>3.5069000457540141E-2</v>
      </c>
      <c r="C120" s="111">
        <v>8.8036122562707934E-3</v>
      </c>
      <c r="D120" s="125">
        <v>0.17533445681716819</v>
      </c>
    </row>
    <row r="121" spans="1:4" x14ac:dyDescent="0.35">
      <c r="A121" s="147">
        <v>116</v>
      </c>
      <c r="B121" s="111">
        <v>7.8052027547930322E-2</v>
      </c>
      <c r="C121" s="111">
        <v>3.2782471184111442E-2</v>
      </c>
      <c r="D121" s="125">
        <v>0.25046308361639569</v>
      </c>
    </row>
    <row r="122" spans="1:4" x14ac:dyDescent="0.35">
      <c r="A122" s="147">
        <v>117</v>
      </c>
      <c r="B122" s="111">
        <v>1.0028531625464051E-2</v>
      </c>
      <c r="C122" s="111">
        <v>3.3621143824313027E-2</v>
      </c>
      <c r="D122" s="125">
        <v>0.170974357035798</v>
      </c>
    </row>
    <row r="123" spans="1:4" x14ac:dyDescent="0.35">
      <c r="A123" s="147">
        <v>118</v>
      </c>
      <c r="B123" s="111">
        <v>3.0065292037612032E-2</v>
      </c>
      <c r="C123" s="111">
        <v>8.232706511031012E-3</v>
      </c>
      <c r="D123" s="125">
        <v>0.16891779881168745</v>
      </c>
    </row>
    <row r="124" spans="1:4" x14ac:dyDescent="0.35">
      <c r="A124" s="147">
        <v>119</v>
      </c>
      <c r="B124" s="111">
        <v>-1.0614197144854093E-3</v>
      </c>
      <c r="C124" s="111">
        <v>1.727072584219836E-2</v>
      </c>
      <c r="D124" s="125">
        <v>0.14097403945329856</v>
      </c>
    </row>
    <row r="125" spans="1:4" x14ac:dyDescent="0.35">
      <c r="A125" s="147">
        <v>120</v>
      </c>
      <c r="B125" s="111">
        <v>-6.2019995292626282E-3</v>
      </c>
      <c r="C125" s="111">
        <v>2.6411996931973852E-2</v>
      </c>
      <c r="D125" s="125">
        <v>0.14373826727910477</v>
      </c>
    </row>
    <row r="126" spans="1:4" x14ac:dyDescent="0.35">
      <c r="A126" s="147">
        <v>121</v>
      </c>
      <c r="B126" s="111">
        <v>2.3150353528709668E-3</v>
      </c>
      <c r="C126" s="111">
        <v>2.8104030081078583E-2</v>
      </c>
      <c r="D126" s="125">
        <v>0.15595546666835602</v>
      </c>
    </row>
    <row r="127" spans="1:4" x14ac:dyDescent="0.35">
      <c r="A127" s="147">
        <v>122</v>
      </c>
      <c r="B127" s="111">
        <v>-1.7845317931249292E-2</v>
      </c>
      <c r="C127" s="111">
        <v>-1.5929928646889191E-3</v>
      </c>
      <c r="D127" s="125">
        <v>0.10173393506956963</v>
      </c>
    </row>
    <row r="128" spans="1:4" x14ac:dyDescent="0.35">
      <c r="A128" s="147">
        <v>123</v>
      </c>
      <c r="B128" s="111">
        <v>3.1325806503540853E-2</v>
      </c>
      <c r="C128" s="111">
        <v>1.9769206607484869E-2</v>
      </c>
      <c r="D128" s="125">
        <v>0.182347075958881</v>
      </c>
    </row>
    <row r="129" spans="1:4" x14ac:dyDescent="0.35">
      <c r="A129" s="147">
        <v>124</v>
      </c>
      <c r="B129" s="111">
        <v>3.0593987043853341E-2</v>
      </c>
      <c r="C129" s="111">
        <v>1.5950205952867294E-2</v>
      </c>
      <c r="D129" s="125">
        <v>0.17752855589934424</v>
      </c>
    </row>
    <row r="130" spans="1:4" x14ac:dyDescent="0.35">
      <c r="A130" s="147">
        <v>125</v>
      </c>
      <c r="B130" s="111">
        <v>8.6528682903780699E-3</v>
      </c>
      <c r="C130" s="111">
        <v>1.4666559457365162E-2</v>
      </c>
      <c r="D130" s="125">
        <v>0.15013962571931194</v>
      </c>
    </row>
    <row r="131" spans="1:4" x14ac:dyDescent="0.35">
      <c r="A131" s="147">
        <v>126</v>
      </c>
      <c r="B131" s="111">
        <v>1.8704759327891118E-2</v>
      </c>
      <c r="C131" s="111">
        <v>1.6933881405423505E-2</v>
      </c>
      <c r="D131" s="125">
        <v>0.16447763662637405</v>
      </c>
    </row>
    <row r="132" spans="1:4" x14ac:dyDescent="0.35">
      <c r="A132" s="147">
        <v>127</v>
      </c>
      <c r="B132" s="111">
        <v>-8.1511057169091766E-5</v>
      </c>
      <c r="C132" s="111">
        <v>2.6388268768498119E-3</v>
      </c>
      <c r="D132" s="125">
        <v>0.12754074981432129</v>
      </c>
    </row>
    <row r="133" spans="1:4" x14ac:dyDescent="0.35">
      <c r="A133" s="147">
        <v>128</v>
      </c>
      <c r="B133" s="111">
        <v>8.759322197137008E-3</v>
      </c>
      <c r="C133" s="111">
        <v>1.2523997274658619E-2</v>
      </c>
      <c r="D133" s="125">
        <v>0.14810280434293799</v>
      </c>
    </row>
    <row r="134" spans="1:4" x14ac:dyDescent="0.35">
      <c r="A134" s="147">
        <v>129</v>
      </c>
      <c r="B134" s="111">
        <v>2.9576632667066366E-2</v>
      </c>
      <c r="C134" s="111">
        <v>8.8011754678383076E-3</v>
      </c>
      <c r="D134" s="125">
        <v>0.16893579052776708</v>
      </c>
    </row>
    <row r="135" spans="1:4" x14ac:dyDescent="0.35">
      <c r="A135" s="147">
        <v>130</v>
      </c>
      <c r="B135" s="111">
        <v>-3.8308815793796948E-3</v>
      </c>
      <c r="C135" s="111">
        <v>3.2723629554590135E-2</v>
      </c>
      <c r="D135" s="125">
        <v>0.15296291180679655</v>
      </c>
    </row>
    <row r="136" spans="1:4" x14ac:dyDescent="0.35">
      <c r="A136" s="147">
        <v>131</v>
      </c>
      <c r="B136" s="111">
        <v>-1.7156408512839845E-2</v>
      </c>
      <c r="C136" s="111">
        <v>2.5739624867470636E-2</v>
      </c>
      <c r="D136" s="125">
        <v>0.12934295584942745</v>
      </c>
    </row>
    <row r="137" spans="1:4" x14ac:dyDescent="0.35">
      <c r="A137" s="147">
        <v>132</v>
      </c>
      <c r="B137" s="111">
        <v>1.5404610029960252E-2</v>
      </c>
      <c r="C137" s="111">
        <v>2.6053855067653099E-2</v>
      </c>
      <c r="D137" s="125">
        <v>0.16982505947251836</v>
      </c>
    </row>
    <row r="138" spans="1:4" x14ac:dyDescent="0.35">
      <c r="A138" s="147">
        <v>133</v>
      </c>
      <c r="B138" s="111">
        <v>1.1628543659709053E-2</v>
      </c>
      <c r="C138" s="111">
        <v>2.5225475178750241E-2</v>
      </c>
      <c r="D138" s="125">
        <v>0.16441848076711341</v>
      </c>
    </row>
    <row r="139" spans="1:4" x14ac:dyDescent="0.35">
      <c r="A139" s="147">
        <v>134</v>
      </c>
      <c r="B139" s="111">
        <v>2.0697766647165213E-2</v>
      </c>
      <c r="C139" s="111">
        <v>2.0656587937573322E-2</v>
      </c>
      <c r="D139" s="125">
        <v>0.17066275406824216</v>
      </c>
    </row>
    <row r="140" spans="1:4" x14ac:dyDescent="0.35">
      <c r="A140" s="147">
        <v>135</v>
      </c>
      <c r="B140" s="111">
        <v>3.2697981483722473E-2</v>
      </c>
      <c r="C140" s="111">
        <v>1.0556493765488985E-2</v>
      </c>
      <c r="D140" s="125">
        <v>0.17439755978375793</v>
      </c>
    </row>
    <row r="141" spans="1:4" x14ac:dyDescent="0.35">
      <c r="A141" s="147">
        <v>136</v>
      </c>
      <c r="B141" s="111">
        <v>-1.9483726129791157E-2</v>
      </c>
      <c r="C141" s="111">
        <v>1.7815766781671197E-2</v>
      </c>
      <c r="D141" s="125">
        <v>0.11865850326107918</v>
      </c>
    </row>
    <row r="142" spans="1:4" x14ac:dyDescent="0.35">
      <c r="A142" s="147">
        <v>137</v>
      </c>
      <c r="B142" s="111">
        <v>-1.8168454587125842E-2</v>
      </c>
      <c r="C142" s="111">
        <v>1.9781065130242984E-2</v>
      </c>
      <c r="D142" s="125">
        <v>0.12223552675922056</v>
      </c>
    </row>
    <row r="143" spans="1:4" x14ac:dyDescent="0.35">
      <c r="A143" s="147">
        <v>138</v>
      </c>
      <c r="B143" s="111">
        <v>2.8501462742205851E-2</v>
      </c>
      <c r="C143" s="111">
        <v>1.2820540996849083E-2</v>
      </c>
      <c r="D143" s="125">
        <v>0.17183330503699956</v>
      </c>
    </row>
    <row r="144" spans="1:4" x14ac:dyDescent="0.35">
      <c r="A144" s="147">
        <v>139</v>
      </c>
      <c r="B144" s="111">
        <v>-1.6343036891294301E-2</v>
      </c>
      <c r="C144" s="111">
        <v>2.6962494625554643E-2</v>
      </c>
      <c r="D144" s="125">
        <v>0.13156940471886425</v>
      </c>
    </row>
    <row r="145" spans="1:4" x14ac:dyDescent="0.35">
      <c r="A145" s="147">
        <v>140</v>
      </c>
      <c r="B145" s="111">
        <v>4.7959599719752284E-2</v>
      </c>
      <c r="C145" s="111">
        <v>1.6668754859104178E-2</v>
      </c>
      <c r="D145" s="125">
        <v>0.19851742533339478</v>
      </c>
    </row>
    <row r="146" spans="1:4" x14ac:dyDescent="0.35">
      <c r="A146" s="147">
        <v>141</v>
      </c>
      <c r="B146" s="111">
        <v>-1.0742986658131474E-2</v>
      </c>
      <c r="C146" s="111">
        <v>1.1009401581496736E-2</v>
      </c>
      <c r="D146" s="125">
        <v>0.12287147352834249</v>
      </c>
    </row>
    <row r="147" spans="1:4" x14ac:dyDescent="0.35">
      <c r="A147" s="147">
        <v>142</v>
      </c>
      <c r="B147" s="111">
        <v>-1.6012458044725127E-2</v>
      </c>
      <c r="C147" s="111">
        <v>1.6014645824306794E-2</v>
      </c>
      <c r="D147" s="125">
        <v>0.12125300801190053</v>
      </c>
    </row>
    <row r="148" spans="1:4" x14ac:dyDescent="0.35">
      <c r="A148" s="147">
        <v>143</v>
      </c>
      <c r="B148" s="111">
        <v>1.8062069395598963E-2</v>
      </c>
      <c r="C148" s="111">
        <v>1.4359676451151682E-2</v>
      </c>
      <c r="D148" s="125">
        <v>0.16108255061777155</v>
      </c>
    </row>
    <row r="149" spans="1:4" x14ac:dyDescent="0.35">
      <c r="A149" s="147">
        <v>144</v>
      </c>
      <c r="B149" s="111">
        <v>-3.9251183682995072E-3</v>
      </c>
      <c r="C149" s="111">
        <v>8.8119409850947947E-3</v>
      </c>
      <c r="D149" s="125">
        <v>0.12904679900852667</v>
      </c>
    </row>
    <row r="150" spans="1:4" x14ac:dyDescent="0.35">
      <c r="A150" s="147">
        <v>145</v>
      </c>
      <c r="B150" s="111">
        <v>-4.4686886360724241E-3</v>
      </c>
      <c r="C150" s="111">
        <v>1.1444902276577313E-2</v>
      </c>
      <c r="D150" s="125">
        <v>0.13100351494975793</v>
      </c>
    </row>
    <row r="151" spans="1:4" x14ac:dyDescent="0.35">
      <c r="A151" s="147">
        <v>146</v>
      </c>
      <c r="B151" s="111">
        <v>-5.3389930978476469E-4</v>
      </c>
      <c r="C151" s="111">
        <v>2.9224298837166103E-2</v>
      </c>
      <c r="D151" s="125">
        <v>0.1535646440018168</v>
      </c>
    </row>
    <row r="152" spans="1:4" x14ac:dyDescent="0.35">
      <c r="A152" s="147">
        <v>147</v>
      </c>
      <c r="B152" s="111">
        <v>1.5474591746617188E-2</v>
      </c>
      <c r="C152" s="111">
        <v>2.1116380903814243E-2</v>
      </c>
      <c r="D152" s="125">
        <v>0.16488150036151206</v>
      </c>
    </row>
    <row r="153" spans="1:4" x14ac:dyDescent="0.35">
      <c r="A153" s="147">
        <v>148</v>
      </c>
      <c r="B153" s="111">
        <v>2.1687633647371835E-2</v>
      </c>
      <c r="C153" s="111">
        <v>1.4796181831837193E-2</v>
      </c>
      <c r="D153" s="125">
        <v>0.16583259122233485</v>
      </c>
    </row>
    <row r="154" spans="1:4" x14ac:dyDescent="0.35">
      <c r="A154" s="147">
        <v>149</v>
      </c>
      <c r="B154" s="111">
        <v>1.5848605996680542E-2</v>
      </c>
      <c r="C154" s="111">
        <v>2.2993647608893795E-2</v>
      </c>
      <c r="D154" s="125">
        <v>0.16724299258357633</v>
      </c>
    </row>
    <row r="155" spans="1:4" x14ac:dyDescent="0.35">
      <c r="A155" s="147">
        <v>150</v>
      </c>
      <c r="B155" s="111">
        <v>-3.2516509704842246E-2</v>
      </c>
      <c r="C155" s="111">
        <v>1.3531779314247733E-2</v>
      </c>
      <c r="D155" s="125">
        <v>9.7922292167989644E-2</v>
      </c>
    </row>
    <row r="156" spans="1:4" x14ac:dyDescent="0.35">
      <c r="A156" s="147">
        <v>151</v>
      </c>
      <c r="B156" s="111">
        <v>3.6273437962574949E-2</v>
      </c>
      <c r="C156" s="111">
        <v>8.3094301625918892E-3</v>
      </c>
      <c r="D156" s="125">
        <v>0.1762173236943454</v>
      </c>
    </row>
    <row r="157" spans="1:4" x14ac:dyDescent="0.35">
      <c r="A157" s="147">
        <v>152</v>
      </c>
      <c r="B157" s="111">
        <v>2.3703596598059838E-2</v>
      </c>
      <c r="C157" s="111">
        <v>1.6178830905330822E-2</v>
      </c>
      <c r="D157" s="125">
        <v>0.16963952254981551</v>
      </c>
    </row>
    <row r="158" spans="1:4" x14ac:dyDescent="0.35">
      <c r="A158" s="147">
        <v>153</v>
      </c>
      <c r="B158" s="111">
        <v>5.2346845235016662E-2</v>
      </c>
      <c r="C158" s="111">
        <v>2.9593409445441907E-2</v>
      </c>
      <c r="D158" s="125">
        <v>0.21728882180684628</v>
      </c>
    </row>
    <row r="159" spans="1:4" x14ac:dyDescent="0.35">
      <c r="A159" s="147">
        <v>154</v>
      </c>
      <c r="B159" s="111">
        <v>2.0284305288953836E-2</v>
      </c>
      <c r="C159" s="111">
        <v>2.2152623464155793E-2</v>
      </c>
      <c r="D159" s="125">
        <v>0.17170128937676732</v>
      </c>
    </row>
    <row r="160" spans="1:4" x14ac:dyDescent="0.35">
      <c r="A160" s="147">
        <v>155</v>
      </c>
      <c r="B160" s="111">
        <v>8.8594463846916813E-3</v>
      </c>
      <c r="C160" s="111">
        <v>1.9459154199622186E-2</v>
      </c>
      <c r="D160" s="125">
        <v>0.15523134726540655</v>
      </c>
    </row>
    <row r="161" spans="1:4" x14ac:dyDescent="0.35">
      <c r="A161" s="147">
        <v>156</v>
      </c>
      <c r="B161" s="111">
        <v>2.1670566948493959E-2</v>
      </c>
      <c r="C161" s="111">
        <v>2.1873315286131734E-2</v>
      </c>
      <c r="D161" s="125">
        <v>0.1730703588912792</v>
      </c>
    </row>
    <row r="162" spans="1:4" x14ac:dyDescent="0.35">
      <c r="A162" s="147">
        <v>157</v>
      </c>
      <c r="B162" s="111">
        <v>2.626932904069422E-2</v>
      </c>
      <c r="C162" s="111">
        <v>6.9278988959994656E-3</v>
      </c>
      <c r="D162" s="125">
        <v>0.16313571748080102</v>
      </c>
    </row>
    <row r="163" spans="1:4" x14ac:dyDescent="0.35">
      <c r="A163" s="147">
        <v>158</v>
      </c>
      <c r="B163" s="111">
        <v>-6.0961661625869891E-4</v>
      </c>
      <c r="C163" s="111">
        <v>3.3760395921475003E-3</v>
      </c>
      <c r="D163" s="125">
        <v>0.12764171114468637</v>
      </c>
    </row>
    <row r="164" spans="1:4" x14ac:dyDescent="0.35">
      <c r="A164" s="147">
        <v>159</v>
      </c>
      <c r="B164" s="111">
        <v>2.2656574290145066E-2</v>
      </c>
      <c r="C164" s="111">
        <v>-8.440965537714458E-3</v>
      </c>
      <c r="D164" s="125">
        <v>0.14312236181457649</v>
      </c>
    </row>
    <row r="165" spans="1:4" x14ac:dyDescent="0.35">
      <c r="A165" s="147">
        <v>160</v>
      </c>
      <c r="B165" s="111">
        <v>2.522092552847649E-2</v>
      </c>
      <c r="C165" s="111">
        <v>1.0938192047967546E-2</v>
      </c>
      <c r="D165" s="125">
        <v>0.16603795648280362</v>
      </c>
    </row>
    <row r="166" spans="1:4" x14ac:dyDescent="0.35">
      <c r="A166" s="147">
        <v>161</v>
      </c>
      <c r="B166" s="111">
        <v>5.730833328568356E-3</v>
      </c>
      <c r="C166" s="111">
        <v>2.9968066651824811E-2</v>
      </c>
      <c r="D166" s="125">
        <v>0.16202281984877298</v>
      </c>
    </row>
    <row r="167" spans="1:4" x14ac:dyDescent="0.35">
      <c r="A167" s="147">
        <v>162</v>
      </c>
      <c r="B167" s="111">
        <v>1.7672816520396449E-2</v>
      </c>
      <c r="C167" s="111">
        <v>9.2235154105974639E-3</v>
      </c>
      <c r="D167" s="125">
        <v>0.15537603935712285</v>
      </c>
    </row>
    <row r="168" spans="1:4" x14ac:dyDescent="0.35">
      <c r="A168" s="147">
        <v>163</v>
      </c>
      <c r="B168" s="111">
        <v>4.91415939923159E-2</v>
      </c>
      <c r="C168" s="111">
        <v>5.6929104948509422E-3</v>
      </c>
      <c r="D168" s="125">
        <v>0.18828335459913137</v>
      </c>
    </row>
    <row r="169" spans="1:4" x14ac:dyDescent="0.35">
      <c r="A169" s="147">
        <v>164</v>
      </c>
      <c r="B169" s="111">
        <v>9.6644919903124075E-3</v>
      </c>
      <c r="C169" s="111">
        <v>1.2650416360581101E-2</v>
      </c>
      <c r="D169" s="125">
        <v>0.14931685621718405</v>
      </c>
    </row>
    <row r="170" spans="1:4" x14ac:dyDescent="0.35">
      <c r="A170" s="147">
        <v>165</v>
      </c>
      <c r="B170" s="111">
        <v>6.5472473169112134E-3</v>
      </c>
      <c r="C170" s="111">
        <v>1.0579967672506038E-2</v>
      </c>
      <c r="D170" s="125">
        <v>0.14348377930465261</v>
      </c>
    </row>
    <row r="171" spans="1:4" x14ac:dyDescent="0.35">
      <c r="A171" s="147">
        <v>166</v>
      </c>
      <c r="B171" s="111">
        <v>2.4140164495958603E-2</v>
      </c>
      <c r="C171" s="111">
        <v>2.4387064031776276E-2</v>
      </c>
      <c r="D171" s="125">
        <v>0.17859763045132282</v>
      </c>
    </row>
    <row r="172" spans="1:4" x14ac:dyDescent="0.35">
      <c r="A172" s="147">
        <v>167</v>
      </c>
      <c r="B172" s="111">
        <v>-1.7317210249692856E-2</v>
      </c>
      <c r="C172" s="111">
        <v>5.3148332035416398E-3</v>
      </c>
      <c r="D172" s="125">
        <v>0.10914627802827015</v>
      </c>
    </row>
    <row r="173" spans="1:4" x14ac:dyDescent="0.35">
      <c r="A173" s="147">
        <v>168</v>
      </c>
      <c r="B173" s="111">
        <v>3.6025910837159281E-2</v>
      </c>
      <c r="C173" s="111">
        <v>2.946313255468043E-2</v>
      </c>
      <c r="D173" s="125">
        <v>0.19797375044654042</v>
      </c>
    </row>
    <row r="174" spans="1:4" x14ac:dyDescent="0.35">
      <c r="A174" s="147">
        <v>169</v>
      </c>
      <c r="B174" s="111">
        <v>2.3244186913858045E-2</v>
      </c>
      <c r="C174" s="111">
        <v>1.6609250606942644E-2</v>
      </c>
      <c r="D174" s="125">
        <v>0.16953779566877114</v>
      </c>
    </row>
    <row r="175" spans="1:4" x14ac:dyDescent="0.35">
      <c r="A175" s="147">
        <v>170</v>
      </c>
      <c r="B175" s="111">
        <v>6.2405986293484197E-3</v>
      </c>
      <c r="C175" s="111">
        <v>2.3134482709602843E-2</v>
      </c>
      <c r="D175" s="125">
        <v>0.15576319031713881</v>
      </c>
    </row>
    <row r="176" spans="1:4" x14ac:dyDescent="0.35">
      <c r="A176" s="147">
        <v>171</v>
      </c>
      <c r="B176" s="111">
        <v>8.7637352125087935E-3</v>
      </c>
      <c r="C176" s="111">
        <v>1.7294457420309085E-2</v>
      </c>
      <c r="D176" s="125">
        <v>0.15292835948438355</v>
      </c>
    </row>
    <row r="177" spans="1:4" x14ac:dyDescent="0.35">
      <c r="A177" s="147">
        <v>172</v>
      </c>
      <c r="B177" s="111">
        <v>2.3030633357712174E-2</v>
      </c>
      <c r="C177" s="111">
        <v>1.1060312258722492E-2</v>
      </c>
      <c r="D177" s="125">
        <v>0.1635852624050036</v>
      </c>
    </row>
    <row r="178" spans="1:4" x14ac:dyDescent="0.35">
      <c r="A178" s="147">
        <v>173</v>
      </c>
      <c r="B178" s="111">
        <v>-6.7645832032572923E-3</v>
      </c>
      <c r="C178" s="111">
        <v>1.6844561021019191E-2</v>
      </c>
      <c r="D178" s="125">
        <v>0.1335493490074271</v>
      </c>
    </row>
    <row r="179" spans="1:4" x14ac:dyDescent="0.35">
      <c r="A179" s="147">
        <v>174</v>
      </c>
      <c r="B179" s="111">
        <v>1.9142776374734126E-2</v>
      </c>
      <c r="C179" s="111">
        <v>2.2336752611033368E-2</v>
      </c>
      <c r="D179" s="125">
        <v>0.1705243646909369</v>
      </c>
    </row>
    <row r="180" spans="1:4" x14ac:dyDescent="0.35">
      <c r="A180" s="147">
        <v>175</v>
      </c>
      <c r="B180" s="111">
        <v>5.8054679697019877E-2</v>
      </c>
      <c r="C180" s="111">
        <v>1.4283406772515897E-2</v>
      </c>
      <c r="D180" s="125">
        <v>0.20759934304401706</v>
      </c>
    </row>
    <row r="181" spans="1:4" x14ac:dyDescent="0.35">
      <c r="A181" s="147">
        <v>176</v>
      </c>
      <c r="B181" s="111">
        <v>1.6264043177302442E-2</v>
      </c>
      <c r="C181" s="111">
        <v>1.2567167130824971E-2</v>
      </c>
      <c r="D181" s="125">
        <v>0.15711511620996399</v>
      </c>
    </row>
    <row r="182" spans="1:4" x14ac:dyDescent="0.35">
      <c r="A182" s="147">
        <v>177</v>
      </c>
      <c r="B182" s="111">
        <v>-4.2464952683226864E-3</v>
      </c>
      <c r="C182" s="111">
        <v>6.1109023851198332E-3</v>
      </c>
      <c r="D182" s="125">
        <v>0.12596820427464084</v>
      </c>
    </row>
    <row r="183" spans="1:4" x14ac:dyDescent="0.35">
      <c r="A183" s="147">
        <v>178</v>
      </c>
      <c r="B183" s="111">
        <v>2.6465842742096415E-4</v>
      </c>
      <c r="C183" s="111">
        <v>1.8169829843290391E-2</v>
      </c>
      <c r="D183" s="125">
        <v>0.14349312955445348</v>
      </c>
    </row>
    <row r="184" spans="1:4" x14ac:dyDescent="0.35">
      <c r="A184" s="147">
        <v>179</v>
      </c>
      <c r="B184" s="111">
        <v>-1.5900843020620836E-2</v>
      </c>
      <c r="C184" s="111">
        <v>1.3496493089811948E-2</v>
      </c>
      <c r="D184" s="125">
        <v>0.11892315510482931</v>
      </c>
    </row>
    <row r="185" spans="1:4" x14ac:dyDescent="0.35">
      <c r="A185" s="147">
        <v>180</v>
      </c>
      <c r="B185" s="111">
        <v>2.1373034940998931E-2</v>
      </c>
      <c r="C185" s="111">
        <v>9.406213381125102E-3</v>
      </c>
      <c r="D185" s="125">
        <v>0.15993396297903284</v>
      </c>
    </row>
    <row r="186" spans="1:4" x14ac:dyDescent="0.35">
      <c r="A186" s="147">
        <v>181</v>
      </c>
      <c r="B186" s="111">
        <v>1.7083978788067472E-2</v>
      </c>
      <c r="C186" s="111">
        <v>2.2053360242626559E-2</v>
      </c>
      <c r="D186" s="125">
        <v>0.16776799015612887</v>
      </c>
    </row>
    <row r="187" spans="1:4" x14ac:dyDescent="0.35">
      <c r="A187" s="147">
        <v>182</v>
      </c>
      <c r="B187" s="111">
        <v>3.6421112432485254E-2</v>
      </c>
      <c r="C187" s="111">
        <v>8.3643100501398816E-3</v>
      </c>
      <c r="D187" s="125">
        <v>0.17644574496790866</v>
      </c>
    </row>
    <row r="188" spans="1:4" x14ac:dyDescent="0.35">
      <c r="A188" s="147">
        <v>183</v>
      </c>
      <c r="B188" s="111">
        <v>5.9488332030673214E-3</v>
      </c>
      <c r="C188" s="111">
        <v>2.0261306162006106E-2</v>
      </c>
      <c r="D188" s="125">
        <v>0.15251439035156955</v>
      </c>
    </row>
    <row r="189" spans="1:4" x14ac:dyDescent="0.35">
      <c r="A189" s="147">
        <v>184</v>
      </c>
      <c r="B189" s="111">
        <v>8.4283649353360628E-3</v>
      </c>
      <c r="C189" s="111">
        <v>2.1148291973652492E-2</v>
      </c>
      <c r="D189" s="125">
        <v>0.15641624619795591</v>
      </c>
    </row>
    <row r="190" spans="1:4" x14ac:dyDescent="0.35">
      <c r="A190" s="147">
        <v>185</v>
      </c>
      <c r="B190" s="111">
        <v>8.8466908178404611E-3</v>
      </c>
      <c r="C190" s="111">
        <v>1.3013156712190003E-2</v>
      </c>
      <c r="D190" s="125">
        <v>0.14870201298435104</v>
      </c>
    </row>
    <row r="191" spans="1:4" x14ac:dyDescent="0.35">
      <c r="A191" s="147">
        <v>186</v>
      </c>
      <c r="B191" s="111">
        <v>-2.9206408853071839E-3</v>
      </c>
      <c r="C191" s="111">
        <v>1.3192804841088175E-2</v>
      </c>
      <c r="D191" s="125">
        <v>0.13463431854233732</v>
      </c>
    </row>
    <row r="192" spans="1:4" x14ac:dyDescent="0.35">
      <c r="A192" s="147">
        <v>187</v>
      </c>
      <c r="B192" s="111">
        <v>1.1094424944388056E-2</v>
      </c>
      <c r="C192" s="111">
        <v>2.312831716500921E-2</v>
      </c>
      <c r="D192" s="125">
        <v>0.16164649313776347</v>
      </c>
    </row>
    <row r="193" spans="1:4" x14ac:dyDescent="0.35">
      <c r="A193" s="147">
        <v>188</v>
      </c>
      <c r="B193" s="111">
        <v>-1.5439400720523005E-3</v>
      </c>
      <c r="C193" s="111">
        <v>1.5074835399796012E-2</v>
      </c>
      <c r="D193" s="125">
        <v>0.13819209504170504</v>
      </c>
    </row>
    <row r="194" spans="1:4" x14ac:dyDescent="0.35">
      <c r="A194" s="147">
        <v>189</v>
      </c>
      <c r="B194" s="111">
        <v>2.3089502042822823E-2</v>
      </c>
      <c r="C194" s="111">
        <v>1.7431509737366867E-2</v>
      </c>
      <c r="D194" s="125">
        <v>0.17019913723189739</v>
      </c>
    </row>
    <row r="195" spans="1:4" x14ac:dyDescent="0.35">
      <c r="A195" s="147">
        <v>190</v>
      </c>
      <c r="B195" s="111">
        <v>-1.5271652129986244E-3</v>
      </c>
      <c r="C195" s="111">
        <v>3.6113608202175594E-2</v>
      </c>
      <c r="D195" s="125">
        <v>0.15921273833798888</v>
      </c>
    </row>
    <row r="196" spans="1:4" x14ac:dyDescent="0.35">
      <c r="A196" s="147">
        <v>191</v>
      </c>
      <c r="B196" s="111">
        <v>5.4076660759272057E-3</v>
      </c>
      <c r="C196" s="111">
        <v>1.5800118910499476E-2</v>
      </c>
      <c r="D196" s="125">
        <v>0.14736701061567503</v>
      </c>
    </row>
    <row r="197" spans="1:4" x14ac:dyDescent="0.35">
      <c r="A197" s="147">
        <v>192</v>
      </c>
      <c r="B197" s="111">
        <v>9.0263960353708754E-3</v>
      </c>
      <c r="C197" s="111">
        <v>9.5251931406798891E-3</v>
      </c>
      <c r="D197" s="125">
        <v>0.14539237866482635</v>
      </c>
    </row>
    <row r="198" spans="1:4" x14ac:dyDescent="0.35">
      <c r="A198" s="147">
        <v>193</v>
      </c>
      <c r="B198" s="111">
        <v>-1.3033786864780876E-2</v>
      </c>
      <c r="C198" s="111">
        <v>1.4734183733184443E-2</v>
      </c>
      <c r="D198" s="125">
        <v>0.12370721000101259</v>
      </c>
    </row>
    <row r="199" spans="1:4" x14ac:dyDescent="0.35">
      <c r="A199" s="147">
        <v>194</v>
      </c>
      <c r="B199" s="111">
        <v>2.2997916275430734E-2</v>
      </c>
      <c r="C199" s="111">
        <v>1.3806694226409316E-2</v>
      </c>
      <c r="D199" s="125">
        <v>0.16636749208758062</v>
      </c>
    </row>
    <row r="200" spans="1:4" x14ac:dyDescent="0.35">
      <c r="A200" s="147">
        <v>195</v>
      </c>
      <c r="B200" s="111">
        <v>6.9954345810981748E-3</v>
      </c>
      <c r="C200" s="111">
        <v>1.4829155988495645E-2</v>
      </c>
      <c r="D200" s="125">
        <v>0.14830691652570582</v>
      </c>
    </row>
    <row r="201" spans="1:4" x14ac:dyDescent="0.35">
      <c r="A201" s="147">
        <v>196</v>
      </c>
      <c r="B201" s="111">
        <v>1.2159695810640379E-2</v>
      </c>
      <c r="C201" s="111">
        <v>6.8109652109306952E-3</v>
      </c>
      <c r="D201" s="125">
        <v>0.14638113913972983</v>
      </c>
    </row>
    <row r="202" spans="1:4" x14ac:dyDescent="0.35">
      <c r="A202" s="147">
        <v>197</v>
      </c>
      <c r="B202" s="111">
        <v>2.4682904384933396E-2</v>
      </c>
      <c r="C202" s="111">
        <v>2.3391361469343515E-2</v>
      </c>
      <c r="D202" s="125">
        <v>0.17822009079665735</v>
      </c>
    </row>
    <row r="203" spans="1:4" x14ac:dyDescent="0.35">
      <c r="A203" s="147">
        <v>198</v>
      </c>
      <c r="B203" s="111">
        <v>1.6783938334482947E-2</v>
      </c>
      <c r="C203" s="111">
        <v>3.8024810072643918E-2</v>
      </c>
      <c r="D203" s="125">
        <v>0.18369674232604427</v>
      </c>
    </row>
    <row r="204" spans="1:4" x14ac:dyDescent="0.35">
      <c r="A204" s="147">
        <v>199</v>
      </c>
      <c r="B204" s="111">
        <v>1.4754985414831123E-2</v>
      </c>
      <c r="C204" s="111">
        <v>4.4745980912246769E-4</v>
      </c>
      <c r="D204" s="125">
        <v>0.14298663735517247</v>
      </c>
    </row>
    <row r="205" spans="1:4" x14ac:dyDescent="0.35">
      <c r="A205" s="147">
        <v>200</v>
      </c>
      <c r="B205" s="111">
        <v>-4.8162947596251046E-3</v>
      </c>
      <c r="C205" s="111">
        <v>5.562876166855385E-4</v>
      </c>
      <c r="D205" s="125">
        <v>0.1197533304272389</v>
      </c>
    </row>
  </sheetData>
  <sheetProtection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8" r:id="rId3" name="Button 4">
              <controlPr defaultSize="0" print="0" autoFill="0" autoPict="0" macro="[0]!simulation">
                <anchor moveWithCells="1" sizeWithCells="1">
                  <from>
                    <xdr:col>6</xdr:col>
                    <xdr:colOff>0</xdr:colOff>
                    <xdr:row>6</xdr:row>
                    <xdr:rowOff>0</xdr:rowOff>
                  </from>
                  <to>
                    <xdr:col>6</xdr:col>
                    <xdr:colOff>1416050</xdr:colOff>
                    <xdr:row>8</xdr:row>
                    <xdr:rowOff>12700</xdr:rowOff>
                  </to>
                </anchor>
              </controlPr>
            </control>
          </mc:Choice>
        </mc:AlternateContent>
        <mc:AlternateContent xmlns:mc="http://schemas.openxmlformats.org/markup-compatibility/2006">
          <mc:Choice Requires="x14">
            <control shapeId="6150" r:id="rId4" name="Button 6">
              <controlPr defaultSize="0" print="0" autoFill="0" autoPict="0" macro="[0]!goToInputData">
                <anchor moveWithCells="1" sizeWithCells="1">
                  <from>
                    <xdr:col>8</xdr:col>
                    <xdr:colOff>438150</xdr:colOff>
                    <xdr:row>3</xdr:row>
                    <xdr:rowOff>57150</xdr:rowOff>
                  </from>
                  <to>
                    <xdr:col>10</xdr:col>
                    <xdr:colOff>361950</xdr:colOff>
                    <xdr:row>4</xdr:row>
                    <xdr:rowOff>50800</xdr:rowOff>
                  </to>
                </anchor>
              </controlPr>
            </control>
          </mc:Choice>
        </mc:AlternateContent>
        <mc:AlternateContent xmlns:mc="http://schemas.openxmlformats.org/markup-compatibility/2006">
          <mc:Choice Requires="x14">
            <control shapeId="6151" r:id="rId5" name="Button 7">
              <controlPr defaultSize="0" print="0" autoFill="0" autoPict="0" macro="[0]!goToScenarios">
                <anchor moveWithCells="1" sizeWithCells="1">
                  <from>
                    <xdr:col>8</xdr:col>
                    <xdr:colOff>406400</xdr:colOff>
                    <xdr:row>5</xdr:row>
                    <xdr:rowOff>6350</xdr:rowOff>
                  </from>
                  <to>
                    <xdr:col>10</xdr:col>
                    <xdr:colOff>355600</xdr:colOff>
                    <xdr:row>6</xdr:row>
                    <xdr:rowOff>0</xdr:rowOff>
                  </to>
                </anchor>
              </controlPr>
            </control>
          </mc:Choice>
        </mc:AlternateContent>
        <mc:AlternateContent xmlns:mc="http://schemas.openxmlformats.org/markup-compatibility/2006">
          <mc:Choice Requires="x14">
            <control shapeId="6153" r:id="rId6" name="Button 9">
              <controlPr defaultSize="0" print="0" autoFill="0" autoPict="0" macro="[0]!goToLinear">
                <anchor moveWithCells="1" sizeWithCells="1">
                  <from>
                    <xdr:col>8</xdr:col>
                    <xdr:colOff>381000</xdr:colOff>
                    <xdr:row>6</xdr:row>
                    <xdr:rowOff>76200</xdr:rowOff>
                  </from>
                  <to>
                    <xdr:col>10</xdr:col>
                    <xdr:colOff>355600</xdr:colOff>
                    <xdr:row>7</xdr:row>
                    <xdr:rowOff>76200</xdr:rowOff>
                  </to>
                </anchor>
              </controlPr>
            </control>
          </mc:Choice>
        </mc:AlternateContent>
        <mc:AlternateContent xmlns:mc="http://schemas.openxmlformats.org/markup-compatibility/2006">
          <mc:Choice Requires="x14">
            <control shapeId="6155" r:id="rId7" name="Button 11">
              <controlPr defaultSize="0" print="0" autoFill="0" autoPict="0" macro="[0]!goToCashFlow">
                <anchor moveWithCells="1" sizeWithCells="1">
                  <from>
                    <xdr:col>8</xdr:col>
                    <xdr:colOff>400050</xdr:colOff>
                    <xdr:row>7</xdr:row>
                    <xdr:rowOff>177800</xdr:rowOff>
                  </from>
                  <to>
                    <xdr:col>10</xdr:col>
                    <xdr:colOff>355600</xdr:colOff>
                    <xdr:row>8</xdr:row>
                    <xdr:rowOff>177800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BFBB6CBFF497554C9EC65268EA35901E" ma:contentTypeVersion="4" ma:contentTypeDescription="Ein neues Dokument erstellen." ma:contentTypeScope="" ma:versionID="1e2561faac378ae592d2a0160d9c1f93">
  <xsd:schema xmlns:xsd="http://www.w3.org/2001/XMLSchema" xmlns:xs="http://www.w3.org/2001/XMLSchema" xmlns:p="http://schemas.microsoft.com/office/2006/metadata/properties" xmlns:ns3="5a8e116a-9e32-47bc-a59d-6f62892d2e04" targetNamespace="http://schemas.microsoft.com/office/2006/metadata/properties" ma:root="true" ma:fieldsID="796b4b8a67f514dda0a1e415ddb08b41" ns3:_="">
    <xsd:import namespace="5a8e116a-9e32-47bc-a59d-6f62892d2e04"/>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8e116a-9e32-47bc-a59d-6f62892d2e0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4E5128A-361D-4CE7-A3C8-AB13F38B0EDB}">
  <ds:schemaRefs>
    <ds:schemaRef ds:uri="http://schemas.microsoft.com/office/infopath/2007/PartnerControls"/>
    <ds:schemaRef ds:uri="http://purl.org/dc/elements/1.1/"/>
    <ds:schemaRef ds:uri="http://www.w3.org/XML/1998/namespace"/>
    <ds:schemaRef ds:uri="http://purl.org/dc/terms/"/>
    <ds:schemaRef ds:uri="http://schemas.openxmlformats.org/package/2006/metadata/core-properties"/>
    <ds:schemaRef ds:uri="http://schemas.microsoft.com/office/2006/documentManagement/types"/>
    <ds:schemaRef ds:uri="http://schemas.microsoft.com/office/2006/metadata/properties"/>
    <ds:schemaRef ds:uri="5a8e116a-9e32-47bc-a59d-6f62892d2e04"/>
    <ds:schemaRef ds:uri="http://purl.org/dc/dcmitype/"/>
  </ds:schemaRefs>
</ds:datastoreItem>
</file>

<file path=customXml/itemProps2.xml><?xml version="1.0" encoding="utf-8"?>
<ds:datastoreItem xmlns:ds="http://schemas.openxmlformats.org/officeDocument/2006/customXml" ds:itemID="{9AF848E2-C257-49D0-B66D-E42A2D80CAA3}">
  <ds:schemaRefs>
    <ds:schemaRef ds:uri="http://schemas.microsoft.com/sharepoint/v3/contenttype/forms"/>
  </ds:schemaRefs>
</ds:datastoreItem>
</file>

<file path=customXml/itemProps3.xml><?xml version="1.0" encoding="utf-8"?>
<ds:datastoreItem xmlns:ds="http://schemas.openxmlformats.org/officeDocument/2006/customXml" ds:itemID="{9A5AAB0A-24D7-4E12-B3B4-6A40FF178F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a8e116a-9e32-47bc-a59d-6f62892d2e0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Basics</vt:lpstr>
      <vt:lpstr>Data_Growth</vt:lpstr>
      <vt:lpstr>Data_Inflation</vt:lpstr>
      <vt:lpstr>1.InputData</vt:lpstr>
      <vt:lpstr>2.Scenarios</vt:lpstr>
      <vt:lpstr>3.LinearRegression</vt:lpstr>
      <vt:lpstr>2. Scenarios (2)</vt:lpstr>
      <vt:lpstr>4.CashFlows</vt:lpstr>
      <vt:lpstr>5.Simulation</vt:lpstr>
      <vt:lpstr>growth</vt:lpstr>
      <vt:lpstr>inflation</vt:lpstr>
      <vt:lpstr>'1.InputData'!Print_Area</vt:lpstr>
      <vt:lpstr>'2.Scenarios'!Print_Area</vt:lpstr>
      <vt:lpstr>'3.LinearRegression'!Print_Area</vt:lpstr>
      <vt:lpstr>'4.CashFlows'!Print_Area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2022-02-05T12:04:23Z</cp:lastPrinted>
  <dcterms:created xsi:type="dcterms:W3CDTF">2019-09-30T14:04:04Z</dcterms:created>
  <dcterms:modified xsi:type="dcterms:W3CDTF">2023-01-08T21:02:20Z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0x010100BFBB6CBFF497554C9EC65268EA35901E</vt:lpwstr>
  </property>
</Properties>
</file>